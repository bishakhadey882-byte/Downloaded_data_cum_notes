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autoCompressPictures="0"/>
  <bookViews>
    <workbookView xWindow="-105" yWindow="-105" windowWidth="20730" windowHeight="11760" activeTab="3"/>
  </bookViews>
  <sheets>
    <sheet name="data" sheetId="1" r:id="rId1"/>
    <sheet name="Model 1" sheetId="4" r:id="rId2"/>
    <sheet name="Model 2" sheetId="6" r:id="rId3"/>
    <sheet name="Model 3" sheetId="7" r:id="rId4"/>
    <sheet name="Model 4" sheetId="8" r:id="rId5"/>
    <sheet name="AGE and ZIP" sheetId="11" r:id="rId6"/>
    <sheet name="Model 5" sheetId="12" r:id="rId7"/>
    <sheet name="Model 5 Excel" sheetId="9" r:id="rId8"/>
    <sheet name="Model 5b" sheetId="10" r:id="rId9"/>
    <sheet name="Model 6" sheetId="13" r:id="rId10"/>
    <sheet name="Model 6 Excel" sheetId="14" r:id="rId11"/>
  </sheets>
  <calcPr calcId="124519"/>
  <pivotCaches>
    <pivotCache cacheId="0" r:id="rId12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" i="1"/>
  <c r="B6" i="14" l="1"/>
  <c r="J31" i="13"/>
  <c r="L31"/>
  <c r="K31"/>
  <c r="L21" i="12"/>
  <c r="K21"/>
  <c r="J21"/>
  <c r="B25"/>
  <c r="B6" i="9"/>
</calcChain>
</file>

<file path=xl/sharedStrings.xml><?xml version="1.0" encoding="utf-8"?>
<sst xmlns="http://schemas.openxmlformats.org/spreadsheetml/2006/main" count="399" uniqueCount="153">
  <si>
    <t>SQFT</t>
  </si>
  <si>
    <t>BEDS</t>
  </si>
  <si>
    <t>BATHS</t>
  </si>
  <si>
    <t>ZIP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</si>
  <si>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</si>
  <si>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</si>
  <si>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</si>
  <si>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</si>
  <si>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</si>
  <si>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</si>
  <si>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</si>
  <si>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</si>
  <si>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</si>
  <si>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</si>
  <si>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</si>
  <si>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</si>
  <si>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</si>
  <si>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</si>
  <si>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</si>
  <si>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</si>
  <si>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t Stat</t>
  </si>
  <si>
    <t>P-value</t>
  </si>
  <si>
    <t>Lower 95%</t>
  </si>
  <si>
    <t>Upper 95%</t>
  </si>
  <si>
    <t>PRICE</t>
  </si>
  <si>
    <t>AGE</t>
  </si>
  <si>
    <t>Sig F</t>
  </si>
  <si>
    <t>Coeffs</t>
  </si>
  <si>
    <t>Std Err</t>
  </si>
  <si>
    <t>MODEL 1: PRICE vs BEDS</t>
  </si>
  <si>
    <t>MODEL 2: PRICE vs BEDS, BATHS</t>
  </si>
  <si>
    <t>MODEL 3: PRICE vs BEDS, SQFT</t>
  </si>
  <si>
    <t>MODEL 4: PRICE vs BEDS, BATHS, SQFT, AGE</t>
  </si>
  <si>
    <t>MODEL 5: PRICE vs BEDS, BATHS, SQFT, AGE, ZIP dummies</t>
  </si>
  <si>
    <t>ZIP27164</t>
  </si>
  <si>
    <t>ZIP27526</t>
  </si>
  <si>
    <t>ZIP27617</t>
  </si>
  <si>
    <t>…</t>
  </si>
  <si>
    <t>(ZIP27703 left out as base case.)</t>
  </si>
  <si>
    <t>Note: This regression is too large to run in Microsoft Excel.  The regression was run in JMP Pro and the output converted to the Excel regression output format.</t>
  </si>
  <si>
    <t>MODEL 5b: PRICE vs BEDS, BATHS, SQFT, AGE, ZIP</t>
  </si>
  <si>
    <t xml:space="preserve"> </t>
  </si>
  <si>
    <t>Grand Total</t>
  </si>
  <si>
    <t>Average of AGE</t>
  </si>
  <si>
    <t>Values</t>
  </si>
  <si>
    <t>Average of PRICE</t>
  </si>
  <si>
    <t>ZIP codes</t>
  </si>
  <si>
    <t>Response LIST PRICE</t>
  </si>
  <si>
    <t>Summary of Fit</t>
  </si>
  <si>
    <t>RSquare</t>
  </si>
  <si>
    <t>RSquare Adj</t>
  </si>
  <si>
    <t>Root Mean Square Error</t>
  </si>
  <si>
    <t>Mean of Response</t>
  </si>
  <si>
    <t>Observations (or Sum Wgts)</t>
  </si>
  <si>
    <t>Analysis of Variance</t>
  </si>
  <si>
    <t>Source</t>
  </si>
  <si>
    <t>DF</t>
  </si>
  <si>
    <t>Sum of Squares</t>
  </si>
  <si>
    <t>Mean Square</t>
  </si>
  <si>
    <t>F Ratio</t>
  </si>
  <si>
    <t>Model</t>
  </si>
  <si>
    <t>Error</t>
  </si>
  <si>
    <t>Prob &gt; F</t>
  </si>
  <si>
    <t>C. Total</t>
  </si>
  <si>
    <t>&lt;.0001*</t>
  </si>
  <si>
    <t>Parameter Estimates</t>
  </si>
  <si>
    <t>Term</t>
  </si>
  <si>
    <t>Estimate</t>
  </si>
  <si>
    <t>Std Error</t>
  </si>
  <si>
    <t>t Ratio</t>
  </si>
  <si>
    <t>Prob&gt;|t|</t>
  </si>
  <si>
    <t>0.0213*</t>
  </si>
  <si>
    <t>ZIP27527</t>
  </si>
  <si>
    <t>ZIP27540</t>
  </si>
  <si>
    <t>ZIP27545</t>
  </si>
  <si>
    <t>ZIP27571</t>
  </si>
  <si>
    <t>ZIP27587</t>
  </si>
  <si>
    <t>ZIP27591</t>
  </si>
  <si>
    <t>ZIP27592</t>
  </si>
  <si>
    <t>ZIP27601</t>
  </si>
  <si>
    <t>0.0050*</t>
  </si>
  <si>
    <t>ZIP27603</t>
  </si>
  <si>
    <t>ZIP27604</t>
  </si>
  <si>
    <t>ZIP27605</t>
  </si>
  <si>
    <t>ZIP27606</t>
  </si>
  <si>
    <t>ZIP27607</t>
  </si>
  <si>
    <t>ZIP27608</t>
  </si>
  <si>
    <t>ZIP27609</t>
  </si>
  <si>
    <t>ZIP27610</t>
  </si>
  <si>
    <t>ZIP27612</t>
  </si>
  <si>
    <t>0.0021*</t>
  </si>
  <si>
    <t>ZIP27613</t>
  </si>
  <si>
    <t>ZIP27614</t>
  </si>
  <si>
    <t>ZIP27615</t>
  </si>
  <si>
    <t>0.0318*</t>
  </si>
  <si>
    <t>ZIP27616</t>
  </si>
  <si>
    <t>0.0335*</t>
  </si>
  <si>
    <t> -213922.8</t>
  </si>
  <si>
    <t> -49349.33</t>
  </si>
  <si>
    <t> -26820.17</t>
  </si>
  <si>
    <t> -769.4319</t>
  </si>
  <si>
    <t> -62.08614</t>
  </si>
  <si>
    <t> -84951.76</t>
  </si>
  <si>
    <t> -110148.5</t>
  </si>
  <si>
    <t> -123009.6</t>
  </si>
  <si>
    <t> -32283.68</t>
  </si>
  <si>
    <t> -181052.4</t>
  </si>
  <si>
    <t> -137719.6</t>
  </si>
  <si>
    <t> -203288.9</t>
  </si>
  <si>
    <t> -119874.9</t>
  </si>
  <si>
    <t> -180237.6</t>
  </si>
  <si>
    <t> -61202.33</t>
  </si>
  <si>
    <t> -42757.79</t>
  </si>
  <si>
    <t> -8322.565</t>
  </si>
  <si>
    <t> -71393.77</t>
  </si>
  <si>
    <t> -20704.39</t>
  </si>
  <si>
    <t> -27731.14</t>
  </si>
  <si>
    <t> -80976.43</t>
  </si>
  <si>
    <t>Target house</t>
  </si>
  <si>
    <t>PRICEhat</t>
  </si>
  <si>
    <t>95% lower</t>
  </si>
  <si>
    <t>95% upper</t>
  </si>
  <si>
    <t>&lt;.0001</t>
  </si>
  <si>
    <t>PARKING SPOTS</t>
  </si>
  <si>
    <t>GARAGE</t>
  </si>
  <si>
    <t>ZIP_27164</t>
  </si>
  <si>
    <t>ZIP_27526</t>
  </si>
  <si>
    <t>ZIP_27527</t>
  </si>
  <si>
    <t>ZIP_27540</t>
  </si>
  <si>
    <t>ZIP_27545</t>
  </si>
  <si>
    <t>ZIP_27571</t>
  </si>
  <si>
    <t>ZIP_27587</t>
  </si>
  <si>
    <t>ZIP_27591</t>
  </si>
  <si>
    <t>ZIP_27592</t>
  </si>
  <si>
    <t>ZIP_27601</t>
  </si>
  <si>
    <t>ZIP_27603</t>
  </si>
  <si>
    <t>ZIP_27604</t>
  </si>
  <si>
    <t>ZIP_27605</t>
  </si>
  <si>
    <t>ZIP_27606</t>
  </si>
  <si>
    <t>ZIP_27607</t>
  </si>
  <si>
    <t>ZIP_27608</t>
  </si>
  <si>
    <t>ZIP_27609</t>
  </si>
  <si>
    <t>ZIP_27610</t>
  </si>
  <si>
    <t>ZIP_27612</t>
  </si>
  <si>
    <t>ZIP_27613</t>
  </si>
  <si>
    <t>ZIP_27614</t>
  </si>
  <si>
    <t>ZIP_27615</t>
  </si>
  <si>
    <t>ZIP_27616</t>
  </si>
  <si>
    <t>ZIP_27617</t>
  </si>
  <si>
    <t>ZIP_27703</t>
  </si>
  <si>
    <t>MODEL 6: PRICE vs SQFT, BEDS, BATHS, AGE, PARKINGSPOTS, GARAGE, ZIP dummies</t>
  </si>
  <si>
    <t>(ZIP_27793 left out as base case.)</t>
  </si>
  <si>
    <t>Correlation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</si>
</sst>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E+00"/>
    <numFmt numFmtId="166" formatCode="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Helvetica Neue"/>
    </font>
    <font>
      <sz val="13"/>
      <color theme="1"/>
      <name val="Helvetica Neue"/>
    </font>
    <font>
      <b/>
      <sz val="13"/>
      <color theme="1"/>
      <name val="Helvetica Neue"/>
    </font>
    <font>
      <sz val="13"/>
      <color rgb="FFEB8C2C"/>
      <name val="Helvetica Neue"/>
    </font>
    <font>
      <sz val="13"/>
      <color rgb="FFF23F55"/>
      <name val="Helvetica Neue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164" fontId="0" fillId="0" borderId="0" xfId="0" applyNumberFormat="1"/>
    <xf numFmtId="1" fontId="0" fillId="0" borderId="0" xfId="0" applyNumberFormat="1"/>
    <xf numFmtId="164" fontId="0" fillId="0" borderId="10" xfId="0" applyNumberFormat="1" applyBorder="1"/>
    <xf numFmtId="0" fontId="16" fillId="0" borderId="0" xfId="0" applyFont="1"/>
    <xf numFmtId="0" fontId="16" fillId="0" borderId="0" xfId="0" applyFont="1" applyAlignment="1">
      <alignment horizontal="right"/>
    </xf>
    <xf numFmtId="165" fontId="0" fillId="0" borderId="0" xfId="0" applyNumberFormat="1"/>
    <xf numFmtId="1" fontId="0" fillId="0" borderId="10" xfId="0" applyNumberFormat="1" applyBorder="1"/>
    <xf numFmtId="11" fontId="0" fillId="0" borderId="0" xfId="0" applyNumberFormat="1"/>
    <xf numFmtId="11" fontId="0" fillId="0" borderId="10" xfId="0" applyNumberFormat="1" applyBorder="1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11" fontId="20" fillId="0" borderId="0" xfId="0" applyNumberFormat="1" applyFont="1"/>
    <xf numFmtId="0" fontId="22" fillId="0" borderId="0" xfId="0" applyFont="1"/>
    <xf numFmtId="0" fontId="20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</xdr:colOff>
      <xdr:row>16</xdr:row>
      <xdr:rowOff>180270</xdr:rowOff>
    </xdr:from>
    <xdr:to>
      <xdr:col>2</xdr:col>
      <xdr:colOff>194347</xdr:colOff>
      <xdr:row>24</xdr:row>
      <xdr:rowOff>47745</xdr:rowOff>
    </xdr:to>
    <xdr:pic>
      <xdr:nvPicPr>
        <xdr:cNvPr id="2" name="Ink 1">
          <a:extLst>
            <a:ext uri="{FF2B5EF4-FFF2-40B4-BE49-F238E27FC236}">
              <a16:creationId xmlns:a16="http://schemas.microsoft.com/office/drawing/2014/main" xmlns:mc="http://schemas.openxmlformats.org/markup-compatibility/2006" xmlns="" id="{936E28CE-6DB6-89FD-0A88-1FB532900ED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0" y="3088800"/>
          <a:ext cx="834840" cy="1337040"/>
        </a:xfrm>
        <a:prstGeom prst="rect">
          <a:avLst/>
        </a:prstGeom>
      </xdr:spPr>
    </xdr:pic>
    <xdr:clientData/>
  </xdr:twoCellAnchor>
  <xdr:twoCellAnchor editAs="oneCell">
    <xdr:from>
      <xdr:col>1</xdr:col>
      <xdr:colOff>434557</xdr:colOff>
      <xdr:row>5</xdr:row>
      <xdr:rowOff>146602</xdr:rowOff>
    </xdr:from>
    <xdr:to>
      <xdr:col>2</xdr:col>
      <xdr:colOff>455707</xdr:colOff>
      <xdr:row>7</xdr:row>
      <xdr:rowOff>70132</xdr:rowOff>
    </xdr:to>
    <xdr:pic>
      <xdr:nvPicPr>
        <xdr:cNvPr id="5" name="Ink 4">
          <a:extLst>
            <a:ext uri="{FF2B5EF4-FFF2-40B4-BE49-F238E27FC236}">
              <a16:creationId xmlns:a16="http://schemas.microsoft.com/office/drawing/2014/main" xmlns:mc="http://schemas.openxmlformats.org/markup-compatibility/2006" xmlns="" id="{ADD60FCD-1BC8-FD78-6EDC-89264A77A71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400" y="1050120"/>
          <a:ext cx="662040" cy="297720"/>
        </a:xfrm>
        <a:prstGeom prst="rect">
          <a:avLst/>
        </a:prstGeom>
      </xdr:spPr>
    </xdr:pic>
    <xdr:clientData/>
  </xdr:twoCellAnchor>
  <xdr:twoCellAnchor editAs="oneCell">
    <xdr:from>
      <xdr:col>3</xdr:col>
      <xdr:colOff>486577</xdr:colOff>
      <xdr:row>17</xdr:row>
      <xdr:rowOff>25132</xdr:rowOff>
    </xdr:from>
    <xdr:to>
      <xdr:col>5</xdr:col>
      <xdr:colOff>163117</xdr:colOff>
      <xdr:row>22</xdr:row>
      <xdr:rowOff>104775</xdr:rowOff>
    </xdr:to>
    <xdr:pic>
      <xdr:nvPicPr>
        <xdr:cNvPr id="6" name="Ink 5">
          <a:extLst>
            <a:ext uri="{FF2B5EF4-FFF2-40B4-BE49-F238E27FC236}">
              <a16:creationId xmlns:a16="http://schemas.microsoft.com/office/drawing/2014/main" xmlns:mc="http://schemas.openxmlformats.org/markup-compatibility/2006" xmlns="" id="{9835B106-D648-6A04-CB57-1A2994835107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1720" y="3119400"/>
          <a:ext cx="946080" cy="1001520"/>
        </a:xfrm>
        <a:prstGeom prst="rect">
          <a:avLst/>
        </a:prstGeom>
      </xdr:spPr>
    </xdr:pic>
    <xdr:clientData/>
  </xdr:twoCellAnchor>
  <xdr:twoCellAnchor editAs="oneCell">
    <xdr:from>
      <xdr:col>1</xdr:col>
      <xdr:colOff>551197</xdr:colOff>
      <xdr:row>21</xdr:row>
      <xdr:rowOff>78030</xdr:rowOff>
    </xdr:from>
    <xdr:to>
      <xdr:col>2</xdr:col>
      <xdr:colOff>561187</xdr:colOff>
      <xdr:row>23</xdr:row>
      <xdr:rowOff>158160</xdr:rowOff>
    </xdr:to>
    <xdr:pic>
      <xdr:nvPicPr>
        <xdr:cNvPr id="9" name="Ink 8">
          <a:extLst>
            <a:ext uri="{FF2B5EF4-FFF2-40B4-BE49-F238E27FC236}">
              <a16:creationId xmlns:a16="http://schemas.microsoft.com/office/drawing/2014/main" xmlns:mc="http://schemas.openxmlformats.org/markup-compatibility/2006" xmlns="" id="{3B3CE04F-A093-3B5A-CBE3-89CAB524E1C1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9040" y="3900960"/>
          <a:ext cx="650880" cy="454320"/>
        </a:xfrm>
        <a:prstGeom prst="rect">
          <a:avLst/>
        </a:prstGeom>
      </xdr:spPr>
    </xdr:pic>
    <xdr:clientData/>
  </xdr:twoCellAnchor>
  <xdr:twoCellAnchor editAs="oneCell">
    <xdr:from>
      <xdr:col>4</xdr:col>
      <xdr:colOff>438607</xdr:colOff>
      <xdr:row>22</xdr:row>
      <xdr:rowOff>163815</xdr:rowOff>
    </xdr:from>
    <xdr:to>
      <xdr:col>6</xdr:col>
      <xdr:colOff>584025</xdr:colOff>
      <xdr:row>29</xdr:row>
      <xdr:rowOff>150510</xdr:rowOff>
    </xdr:to>
    <xdr:pic>
      <xdr:nvPicPr>
        <xdr:cNvPr id="30" name="Ink 29">
          <a:extLst>
            <a:ext uri="{FF2B5EF4-FFF2-40B4-BE49-F238E27FC236}">
              <a16:creationId xmlns:a16="http://schemas.microsoft.com/office/drawing/2014/main" xmlns:mc="http://schemas.openxmlformats.org/markup-compatibility/2006" xmlns="" id="{38EC9C47-9D60-2024-8F96-0DFF61E76FD5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2399" y="4167720"/>
          <a:ext cx="1572123" cy="12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47692</xdr:colOff>
      <xdr:row>15</xdr:row>
      <xdr:rowOff>140647</xdr:rowOff>
    </xdr:from>
    <xdr:to>
      <xdr:col>12</xdr:col>
      <xdr:colOff>307162</xdr:colOff>
      <xdr:row>28</xdr:row>
      <xdr:rowOff>34845</xdr:rowOff>
    </xdr:to>
    <xdr:pic>
      <xdr:nvPicPr>
        <xdr:cNvPr id="49" name="Ink 48">
          <a:extLst>
            <a:ext uri="{FF2B5EF4-FFF2-40B4-BE49-F238E27FC236}">
              <a16:creationId xmlns:a16="http://schemas.microsoft.com/office/drawing/2014/main" xmlns:mc="http://schemas.openxmlformats.org/markup-compatibility/2006" xmlns="" id="{602B7696-EA81-F5B9-F4D0-8F53A8836218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51760" y="2863440"/>
          <a:ext cx="3414960" cy="227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130174</xdr:colOff>
      <xdr:row>3</xdr:row>
      <xdr:rowOff>161924</xdr:rowOff>
    </xdr:from>
    <xdr:to>
      <xdr:col>32</xdr:col>
      <xdr:colOff>200024</xdr:colOff>
      <xdr:row>31</xdr:row>
      <xdr:rowOff>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6799" y="733424"/>
          <a:ext cx="5184775" cy="517268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am J. Mersereau" refreshedDate="42277.671298379631" createdVersion="4" refreshedVersion="4" minRefreshableVersion="3" recordCount="1021">
  <cacheSource type="worksheet">
    <worksheetSource ref="A1:F1022" sheet="data"/>
  </cacheSource>
  <cacheFields count="6">
    <cacheField name="PRICE" numFmtId="0">
      <sharedItems containsSemiMixedTypes="0" containsString="0" containsNumber="1" containsInteger="1" minValue="18000" maxValue="1475000"/>
    </cacheField>
    <cacheField name="BEDS" numFmtId="0">
      <sharedItems containsSemiMixedTypes="0" containsString="0" containsNumber="1" containsInteger="1" minValue="1" maxValue="8"/>
    </cacheField>
    <cacheField name="BATHS" numFmtId="0">
      <sharedItems containsSemiMixedTypes="0" containsString="0" containsNumber="1" minValue="1" maxValue="8"/>
    </cacheField>
    <cacheField name="SQFT" numFmtId="0">
      <sharedItems containsSemiMixedTypes="0" containsString="0" containsNumber="1" containsInteger="1" minValue="496" maxValue="8273"/>
    </cacheField>
    <cacheField name="AGE" numFmtId="0">
      <sharedItems containsSemiMixedTypes="0" containsString="0" containsNumber="1" containsInteger="1" minValue="0" maxValue="173" count="94">
        <n v="64"/>
        <n v="59"/>
        <n v="34"/>
        <n v="89"/>
        <n v="47"/>
        <n v="69"/>
        <n v="45"/>
        <n v="51"/>
        <n v="55"/>
        <n v="53"/>
        <n v="43"/>
        <n v="60"/>
        <n v="57"/>
        <n v="14"/>
        <n v="52"/>
        <n v="44"/>
        <n v="54"/>
        <n v="16"/>
        <n v="46"/>
        <n v="29"/>
        <n v="36"/>
        <n v="30"/>
        <n v="22"/>
        <n v="17"/>
        <n v="27"/>
        <n v="20"/>
        <n v="25"/>
        <n v="13"/>
        <n v="21"/>
        <n v="65"/>
        <n v="56"/>
        <n v="12"/>
        <n v="11"/>
        <n v="28"/>
        <n v="0"/>
        <n v="50"/>
        <n v="61"/>
        <n v="42"/>
        <n v="18"/>
        <n v="24"/>
        <n v="130"/>
        <n v="48"/>
        <n v="32"/>
        <n v="7"/>
        <n v="9"/>
        <n v="35"/>
        <n v="19"/>
        <n v="1"/>
        <n v="5"/>
        <n v="33"/>
        <n v="49"/>
        <n v="26"/>
        <n v="6"/>
        <n v="38"/>
        <n v="23"/>
        <n v="8"/>
        <n v="62"/>
        <n v="37"/>
        <n v="74"/>
        <n v="10"/>
        <n v="58"/>
        <n v="15"/>
        <n v="4"/>
        <n v="105"/>
        <n v="82"/>
        <n v="3"/>
        <n v="31"/>
        <n v="92"/>
        <n v="39"/>
        <n v="41"/>
        <n v="84"/>
        <n v="2"/>
        <n v="68"/>
        <n v="67"/>
        <n v="91"/>
        <n v="94"/>
        <n v="63"/>
        <n v="75"/>
        <n v="77"/>
        <n v="71"/>
        <n v="103"/>
        <n v="119"/>
        <n v="73"/>
        <n v="76"/>
        <n v="87"/>
        <n v="40"/>
        <n v="86"/>
        <n v="83"/>
        <n v="117"/>
        <n v="99"/>
        <n v="98"/>
        <n v="66"/>
        <n v="173"/>
        <n v="97"/>
      </sharedItems>
    </cacheField>
    <cacheField name="ZIP" numFmtId="0">
      <sharedItems containsSemiMixedTypes="0" containsString="0" containsNumber="1" containsInteger="1" minValue="27164" maxValue="27793" count="26">
        <n v="27601"/>
        <n v="27610"/>
        <n v="27616"/>
        <n v="27603"/>
        <n v="27604"/>
        <n v="27526"/>
        <n v="27609"/>
        <n v="27615"/>
        <n v="27612"/>
        <n v="27608"/>
        <n v="27606"/>
        <n v="27613"/>
        <n v="27607"/>
        <n v="27617"/>
        <n v="27545"/>
        <n v="27587"/>
        <n v="27614"/>
        <n v="27793"/>
        <n v="27527"/>
        <n v="27703"/>
        <n v="27592"/>
        <n v="27571"/>
        <n v="27605"/>
        <n v="27540"/>
        <n v="27164"/>
        <n v="275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1">
  <r>
    <n v="18000"/>
    <n v="2"/>
    <n v="2"/>
    <n v="850"/>
    <x v="0"/>
    <x v="0"/>
  </r>
  <r>
    <n v="39900"/>
    <n v="3"/>
    <n v="1"/>
    <n v="1435"/>
    <x v="1"/>
    <x v="1"/>
  </r>
  <r>
    <n v="45000"/>
    <n v="3"/>
    <n v="2"/>
    <n v="1120"/>
    <x v="2"/>
    <x v="2"/>
  </r>
  <r>
    <n v="46900"/>
    <n v="2"/>
    <n v="1"/>
    <n v="780"/>
    <x v="3"/>
    <x v="1"/>
  </r>
  <r>
    <n v="50000"/>
    <n v="5"/>
    <n v="2"/>
    <n v="1950"/>
    <x v="4"/>
    <x v="1"/>
  </r>
  <r>
    <n v="54900"/>
    <n v="2"/>
    <n v="1.5"/>
    <n v="1257"/>
    <x v="1"/>
    <x v="1"/>
  </r>
  <r>
    <n v="60000"/>
    <n v="2"/>
    <n v="1"/>
    <n v="900"/>
    <x v="5"/>
    <x v="1"/>
  </r>
  <r>
    <n v="60000"/>
    <n v="3"/>
    <n v="1"/>
    <n v="975"/>
    <x v="6"/>
    <x v="1"/>
  </r>
  <r>
    <n v="65000"/>
    <n v="3"/>
    <n v="1"/>
    <n v="840"/>
    <x v="7"/>
    <x v="0"/>
  </r>
  <r>
    <n v="66500"/>
    <n v="7"/>
    <n v="3"/>
    <n v="3348"/>
    <x v="1"/>
    <x v="1"/>
  </r>
  <r>
    <n v="68000"/>
    <n v="3"/>
    <n v="1"/>
    <n v="1096"/>
    <x v="8"/>
    <x v="1"/>
  </r>
  <r>
    <n v="69000"/>
    <n v="3"/>
    <n v="1"/>
    <n v="1092"/>
    <x v="9"/>
    <x v="1"/>
  </r>
  <r>
    <n v="69500"/>
    <n v="3"/>
    <n v="1"/>
    <n v="1088"/>
    <x v="10"/>
    <x v="1"/>
  </r>
  <r>
    <n v="70000"/>
    <n v="3"/>
    <n v="1.5"/>
    <n v="1220"/>
    <x v="11"/>
    <x v="1"/>
  </r>
  <r>
    <n v="72900"/>
    <n v="3"/>
    <n v="1"/>
    <n v="975"/>
    <x v="8"/>
    <x v="1"/>
  </r>
  <r>
    <n v="74900"/>
    <n v="3"/>
    <n v="1"/>
    <n v="1075"/>
    <x v="12"/>
    <x v="1"/>
  </r>
  <r>
    <n v="74900"/>
    <n v="3"/>
    <n v="2"/>
    <n v="918"/>
    <x v="13"/>
    <x v="1"/>
  </r>
  <r>
    <n v="74900"/>
    <n v="3"/>
    <n v="1.5"/>
    <n v="1180"/>
    <x v="10"/>
    <x v="1"/>
  </r>
  <r>
    <n v="74900"/>
    <n v="3"/>
    <n v="1"/>
    <n v="1107"/>
    <x v="14"/>
    <x v="1"/>
  </r>
  <r>
    <n v="75000"/>
    <n v="4"/>
    <n v="1.5"/>
    <n v="1320"/>
    <x v="15"/>
    <x v="1"/>
  </r>
  <r>
    <n v="76900"/>
    <n v="3"/>
    <n v="1"/>
    <n v="1000"/>
    <x v="16"/>
    <x v="1"/>
  </r>
  <r>
    <n v="77000"/>
    <n v="3"/>
    <n v="1"/>
    <n v="975"/>
    <x v="6"/>
    <x v="1"/>
  </r>
  <r>
    <n v="77000"/>
    <n v="3"/>
    <n v="2"/>
    <n v="1067"/>
    <x v="17"/>
    <x v="1"/>
  </r>
  <r>
    <n v="78900"/>
    <n v="3"/>
    <n v="1"/>
    <n v="975"/>
    <x v="15"/>
    <x v="1"/>
  </r>
  <r>
    <n v="79000"/>
    <n v="3"/>
    <n v="1.5"/>
    <n v="1320"/>
    <x v="6"/>
    <x v="1"/>
  </r>
  <r>
    <n v="79900"/>
    <n v="4"/>
    <n v="1"/>
    <n v="1080"/>
    <x v="18"/>
    <x v="1"/>
  </r>
  <r>
    <n v="79900"/>
    <n v="8"/>
    <n v="4"/>
    <n v="2280"/>
    <x v="16"/>
    <x v="1"/>
  </r>
  <r>
    <n v="80000"/>
    <n v="2"/>
    <n v="1"/>
    <n v="991"/>
    <x v="19"/>
    <x v="3"/>
  </r>
  <r>
    <n v="81900"/>
    <n v="3"/>
    <n v="1.5"/>
    <n v="1090"/>
    <x v="20"/>
    <x v="1"/>
  </r>
  <r>
    <n v="84500"/>
    <n v="3"/>
    <n v="1.5"/>
    <n v="1000"/>
    <x v="6"/>
    <x v="1"/>
  </r>
  <r>
    <n v="84900"/>
    <n v="4"/>
    <n v="3"/>
    <n v="2478"/>
    <x v="21"/>
    <x v="1"/>
  </r>
  <r>
    <n v="89900"/>
    <n v="2"/>
    <n v="1"/>
    <n v="1468"/>
    <x v="8"/>
    <x v="1"/>
  </r>
  <r>
    <n v="91000"/>
    <n v="3"/>
    <n v="2.5"/>
    <n v="1225"/>
    <x v="22"/>
    <x v="2"/>
  </r>
  <r>
    <n v="91000"/>
    <n v="3"/>
    <n v="2"/>
    <n v="1212"/>
    <x v="23"/>
    <x v="1"/>
  </r>
  <r>
    <n v="92000"/>
    <n v="3"/>
    <n v="2"/>
    <n v="1215"/>
    <x v="13"/>
    <x v="2"/>
  </r>
  <r>
    <n v="93000"/>
    <n v="3"/>
    <n v="2.5"/>
    <n v="1548"/>
    <x v="24"/>
    <x v="1"/>
  </r>
  <r>
    <n v="95000"/>
    <n v="1"/>
    <n v="1"/>
    <n v="648"/>
    <x v="9"/>
    <x v="1"/>
  </r>
  <r>
    <n v="97500"/>
    <n v="3"/>
    <n v="2.5"/>
    <n v="1700"/>
    <x v="25"/>
    <x v="1"/>
  </r>
  <r>
    <n v="99900"/>
    <n v="3"/>
    <n v="2"/>
    <n v="1192"/>
    <x v="26"/>
    <x v="2"/>
  </r>
  <r>
    <n v="99900"/>
    <n v="2"/>
    <n v="2"/>
    <n v="980"/>
    <x v="27"/>
    <x v="1"/>
  </r>
  <r>
    <n v="99900"/>
    <n v="3"/>
    <n v="2.5"/>
    <n v="1866"/>
    <x v="28"/>
    <x v="4"/>
  </r>
  <r>
    <n v="99900"/>
    <n v="4"/>
    <n v="2.5"/>
    <n v="2293"/>
    <x v="4"/>
    <x v="4"/>
  </r>
  <r>
    <n v="99900"/>
    <n v="3"/>
    <n v="1.5"/>
    <n v="1641"/>
    <x v="18"/>
    <x v="1"/>
  </r>
  <r>
    <n v="100000"/>
    <n v="3"/>
    <n v="2"/>
    <n v="1520"/>
    <x v="29"/>
    <x v="1"/>
  </r>
  <r>
    <n v="100000"/>
    <n v="3"/>
    <n v="2"/>
    <n v="1500"/>
    <x v="30"/>
    <x v="5"/>
  </r>
  <r>
    <n v="104000"/>
    <n v="3"/>
    <n v="2"/>
    <n v="1153"/>
    <x v="31"/>
    <x v="1"/>
  </r>
  <r>
    <n v="105000"/>
    <n v="2"/>
    <n v="2"/>
    <n v="1184"/>
    <x v="17"/>
    <x v="4"/>
  </r>
  <r>
    <n v="105000"/>
    <n v="3"/>
    <n v="2.5"/>
    <n v="1360"/>
    <x v="31"/>
    <x v="1"/>
  </r>
  <r>
    <n v="105000"/>
    <n v="3"/>
    <n v="2.5"/>
    <n v="1091"/>
    <x v="32"/>
    <x v="2"/>
  </r>
  <r>
    <n v="108500"/>
    <n v="4"/>
    <n v="3"/>
    <n v="1463"/>
    <x v="31"/>
    <x v="2"/>
  </r>
  <r>
    <n v="108800"/>
    <n v="3"/>
    <n v="2"/>
    <n v="1300"/>
    <x v="13"/>
    <x v="1"/>
  </r>
  <r>
    <n v="109000"/>
    <n v="3"/>
    <n v="2"/>
    <n v="1357"/>
    <x v="32"/>
    <x v="1"/>
  </r>
  <r>
    <n v="109500"/>
    <n v="3"/>
    <n v="2"/>
    <n v="1153"/>
    <x v="23"/>
    <x v="1"/>
  </r>
  <r>
    <n v="109900"/>
    <n v="3"/>
    <n v="2"/>
    <n v="1150"/>
    <x v="31"/>
    <x v="1"/>
  </r>
  <r>
    <n v="109900"/>
    <n v="2"/>
    <n v="1"/>
    <n v="902"/>
    <x v="1"/>
    <x v="3"/>
  </r>
  <r>
    <n v="109900"/>
    <n v="3"/>
    <n v="1"/>
    <n v="1012"/>
    <x v="1"/>
    <x v="1"/>
  </r>
  <r>
    <n v="109900"/>
    <n v="2"/>
    <n v="2"/>
    <n v="1232"/>
    <x v="33"/>
    <x v="4"/>
  </r>
  <r>
    <n v="109990"/>
    <n v="3"/>
    <n v="2"/>
    <n v="1300"/>
    <x v="34"/>
    <x v="1"/>
  </r>
  <r>
    <n v="110000"/>
    <n v="3"/>
    <n v="1.5"/>
    <n v="1554"/>
    <x v="7"/>
    <x v="1"/>
  </r>
  <r>
    <n v="110000"/>
    <n v="3"/>
    <n v="2"/>
    <n v="1210"/>
    <x v="32"/>
    <x v="1"/>
  </r>
  <r>
    <n v="110000"/>
    <n v="4"/>
    <n v="2"/>
    <n v="2332"/>
    <x v="35"/>
    <x v="1"/>
  </r>
  <r>
    <n v="110000"/>
    <n v="3"/>
    <n v="2"/>
    <n v="1346"/>
    <x v="24"/>
    <x v="1"/>
  </r>
  <r>
    <n v="112140"/>
    <n v="3"/>
    <n v="2.5"/>
    <n v="1220"/>
    <x v="34"/>
    <x v="1"/>
  </r>
  <r>
    <n v="112900"/>
    <n v="3"/>
    <n v="2"/>
    <n v="1152"/>
    <x v="28"/>
    <x v="2"/>
  </r>
  <r>
    <n v="112900"/>
    <n v="2"/>
    <n v="1"/>
    <n v="1000"/>
    <x v="8"/>
    <x v="6"/>
  </r>
  <r>
    <n v="113000"/>
    <n v="3"/>
    <n v="2"/>
    <n v="1132"/>
    <x v="28"/>
    <x v="2"/>
  </r>
  <r>
    <n v="113900"/>
    <n v="3"/>
    <n v="3"/>
    <n v="1300"/>
    <x v="19"/>
    <x v="2"/>
  </r>
  <r>
    <n v="114000"/>
    <n v="2"/>
    <n v="1"/>
    <n v="762"/>
    <x v="0"/>
    <x v="0"/>
  </r>
  <r>
    <n v="114900"/>
    <n v="3"/>
    <n v="2"/>
    <n v="1230"/>
    <x v="17"/>
    <x v="2"/>
  </r>
  <r>
    <n v="114900"/>
    <n v="3"/>
    <n v="2.5"/>
    <n v="1703"/>
    <x v="33"/>
    <x v="1"/>
  </r>
  <r>
    <n v="115000"/>
    <n v="3"/>
    <n v="1"/>
    <n v="1000"/>
    <x v="36"/>
    <x v="1"/>
  </r>
  <r>
    <n v="115000"/>
    <n v="4"/>
    <n v="2"/>
    <n v="1672"/>
    <x v="4"/>
    <x v="1"/>
  </r>
  <r>
    <n v="115000"/>
    <n v="3"/>
    <n v="1.5"/>
    <n v="1352"/>
    <x v="37"/>
    <x v="2"/>
  </r>
  <r>
    <n v="115000"/>
    <n v="3"/>
    <n v="2"/>
    <n v="1172"/>
    <x v="32"/>
    <x v="1"/>
  </r>
  <r>
    <n v="115000"/>
    <n v="3"/>
    <n v="2"/>
    <n v="1200"/>
    <x v="38"/>
    <x v="1"/>
  </r>
  <r>
    <n v="116500"/>
    <n v="3"/>
    <n v="2"/>
    <n v="1399"/>
    <x v="27"/>
    <x v="1"/>
  </r>
  <r>
    <n v="117000"/>
    <n v="3"/>
    <n v="2.5"/>
    <n v="1238"/>
    <x v="27"/>
    <x v="2"/>
  </r>
  <r>
    <n v="117000"/>
    <n v="3"/>
    <n v="2.5"/>
    <n v="1424"/>
    <x v="19"/>
    <x v="4"/>
  </r>
  <r>
    <n v="118000"/>
    <n v="3"/>
    <n v="2"/>
    <n v="1235"/>
    <x v="39"/>
    <x v="4"/>
  </r>
  <r>
    <n v="118000"/>
    <n v="3"/>
    <n v="2"/>
    <n v="1221"/>
    <x v="38"/>
    <x v="1"/>
  </r>
  <r>
    <n v="119000"/>
    <n v="3"/>
    <n v="2"/>
    <n v="1269"/>
    <x v="27"/>
    <x v="1"/>
  </r>
  <r>
    <n v="119500"/>
    <n v="3"/>
    <n v="1.5"/>
    <n v="1300"/>
    <x v="2"/>
    <x v="1"/>
  </r>
  <r>
    <n v="119500"/>
    <n v="3"/>
    <n v="2"/>
    <n v="1232"/>
    <x v="40"/>
    <x v="2"/>
  </r>
  <r>
    <n v="119750"/>
    <n v="3"/>
    <n v="2.5"/>
    <n v="1327"/>
    <x v="39"/>
    <x v="4"/>
  </r>
  <r>
    <n v="119900"/>
    <n v="3"/>
    <n v="2"/>
    <n v="1560"/>
    <x v="41"/>
    <x v="4"/>
  </r>
  <r>
    <n v="119900"/>
    <n v="3"/>
    <n v="2"/>
    <n v="1310"/>
    <x v="23"/>
    <x v="1"/>
  </r>
  <r>
    <n v="119900"/>
    <n v="3"/>
    <n v="2"/>
    <n v="1237"/>
    <x v="42"/>
    <x v="4"/>
  </r>
  <r>
    <n v="119900"/>
    <n v="4"/>
    <n v="2.5"/>
    <n v="2133"/>
    <x v="43"/>
    <x v="1"/>
  </r>
  <r>
    <n v="119990"/>
    <n v="3"/>
    <n v="2"/>
    <n v="1513"/>
    <x v="34"/>
    <x v="1"/>
  </r>
  <r>
    <n v="120000"/>
    <n v="3"/>
    <n v="2.5"/>
    <n v="1350"/>
    <x v="13"/>
    <x v="2"/>
  </r>
  <r>
    <n v="120000"/>
    <n v="3"/>
    <n v="2"/>
    <n v="1350"/>
    <x v="24"/>
    <x v="2"/>
  </r>
  <r>
    <n v="120000"/>
    <n v="3"/>
    <n v="2"/>
    <n v="1186"/>
    <x v="23"/>
    <x v="1"/>
  </r>
  <r>
    <n v="121040"/>
    <n v="3"/>
    <n v="2.5"/>
    <n v="1327"/>
    <x v="34"/>
    <x v="1"/>
  </r>
  <r>
    <n v="121280"/>
    <n v="3"/>
    <n v="2.5"/>
    <n v="1437"/>
    <x v="34"/>
    <x v="1"/>
  </r>
  <r>
    <n v="121997"/>
    <n v="3"/>
    <n v="2"/>
    <n v="1306"/>
    <x v="20"/>
    <x v="2"/>
  </r>
  <r>
    <n v="122340"/>
    <n v="3"/>
    <n v="2.5"/>
    <n v="1437"/>
    <x v="34"/>
    <x v="1"/>
  </r>
  <r>
    <n v="122590"/>
    <n v="3"/>
    <n v="2.5"/>
    <n v="1601"/>
    <x v="34"/>
    <x v="1"/>
  </r>
  <r>
    <n v="122900"/>
    <n v="3"/>
    <n v="2.5"/>
    <n v="1615"/>
    <x v="44"/>
    <x v="1"/>
  </r>
  <r>
    <n v="124000"/>
    <n v="3"/>
    <n v="2"/>
    <n v="1309"/>
    <x v="1"/>
    <x v="3"/>
  </r>
  <r>
    <n v="124500"/>
    <n v="3"/>
    <n v="2"/>
    <n v="1008"/>
    <x v="23"/>
    <x v="1"/>
  </r>
  <r>
    <n v="124640"/>
    <n v="3"/>
    <n v="2.5"/>
    <n v="1507"/>
    <x v="34"/>
    <x v="1"/>
  </r>
  <r>
    <n v="124900"/>
    <n v="3"/>
    <n v="1.5"/>
    <n v="1555"/>
    <x v="7"/>
    <x v="1"/>
  </r>
  <r>
    <n v="124900"/>
    <n v="3"/>
    <n v="2.5"/>
    <n v="1539"/>
    <x v="32"/>
    <x v="4"/>
  </r>
  <r>
    <n v="124900"/>
    <n v="2"/>
    <n v="2.5"/>
    <n v="1432"/>
    <x v="45"/>
    <x v="6"/>
  </r>
  <r>
    <n v="124900"/>
    <n v="3"/>
    <n v="2"/>
    <n v="1200"/>
    <x v="46"/>
    <x v="4"/>
  </r>
  <r>
    <n v="124990"/>
    <n v="3"/>
    <n v="2"/>
    <n v="1242"/>
    <x v="47"/>
    <x v="1"/>
  </r>
  <r>
    <n v="124990"/>
    <n v="3"/>
    <n v="2"/>
    <n v="1288"/>
    <x v="47"/>
    <x v="1"/>
  </r>
  <r>
    <n v="125000"/>
    <n v="3"/>
    <n v="1"/>
    <n v="1196"/>
    <x v="9"/>
    <x v="1"/>
  </r>
  <r>
    <n v="125000"/>
    <n v="3"/>
    <n v="2"/>
    <n v="1092"/>
    <x v="10"/>
    <x v="2"/>
  </r>
  <r>
    <n v="125000"/>
    <n v="3"/>
    <n v="2"/>
    <n v="1200"/>
    <x v="17"/>
    <x v="4"/>
  </r>
  <r>
    <n v="125000"/>
    <n v="3"/>
    <n v="2"/>
    <n v="1246"/>
    <x v="17"/>
    <x v="4"/>
  </r>
  <r>
    <n v="125390"/>
    <n v="3"/>
    <n v="2.5"/>
    <n v="1507"/>
    <x v="34"/>
    <x v="1"/>
  </r>
  <r>
    <n v="126500"/>
    <n v="3"/>
    <n v="2.5"/>
    <n v="1375"/>
    <x v="33"/>
    <x v="4"/>
  </r>
  <r>
    <n v="127000"/>
    <n v="3"/>
    <n v="2"/>
    <n v="1111"/>
    <x v="17"/>
    <x v="2"/>
  </r>
  <r>
    <n v="129000"/>
    <n v="3"/>
    <n v="1.5"/>
    <n v="1026"/>
    <x v="42"/>
    <x v="7"/>
  </r>
  <r>
    <n v="129190"/>
    <n v="3"/>
    <n v="2.5"/>
    <n v="1507"/>
    <x v="47"/>
    <x v="1"/>
  </r>
  <r>
    <n v="129422"/>
    <n v="3"/>
    <n v="2.5"/>
    <n v="1569"/>
    <x v="34"/>
    <x v="1"/>
  </r>
  <r>
    <n v="129422"/>
    <n v="3"/>
    <n v="2.5"/>
    <n v="1569"/>
    <x v="34"/>
    <x v="1"/>
  </r>
  <r>
    <n v="129900"/>
    <n v="3"/>
    <n v="2"/>
    <n v="1091"/>
    <x v="2"/>
    <x v="1"/>
  </r>
  <r>
    <n v="129900"/>
    <n v="3"/>
    <n v="1.5"/>
    <n v="1239"/>
    <x v="7"/>
    <x v="4"/>
  </r>
  <r>
    <n v="129900"/>
    <n v="3"/>
    <n v="2"/>
    <n v="1461"/>
    <x v="35"/>
    <x v="4"/>
  </r>
  <r>
    <n v="129990"/>
    <n v="3"/>
    <n v="2.5"/>
    <n v="1507"/>
    <x v="34"/>
    <x v="1"/>
  </r>
  <r>
    <n v="130000"/>
    <n v="3"/>
    <n v="1.5"/>
    <n v="1264"/>
    <x v="14"/>
    <x v="4"/>
  </r>
  <r>
    <n v="131340"/>
    <n v="3"/>
    <n v="2.5"/>
    <n v="1709"/>
    <x v="34"/>
    <x v="1"/>
  </r>
  <r>
    <n v="131460"/>
    <n v="3"/>
    <n v="2.5"/>
    <n v="1507"/>
    <x v="34"/>
    <x v="1"/>
  </r>
  <r>
    <n v="131545"/>
    <n v="3"/>
    <n v="2.5"/>
    <n v="1658"/>
    <x v="34"/>
    <x v="1"/>
  </r>
  <r>
    <n v="132000"/>
    <n v="3"/>
    <n v="2.5"/>
    <n v="1483"/>
    <x v="33"/>
    <x v="2"/>
  </r>
  <r>
    <n v="133340"/>
    <n v="3"/>
    <n v="2.5"/>
    <n v="1805"/>
    <x v="34"/>
    <x v="1"/>
  </r>
  <r>
    <n v="134000"/>
    <n v="4"/>
    <n v="2"/>
    <n v="1680"/>
    <x v="17"/>
    <x v="3"/>
  </r>
  <r>
    <n v="134500"/>
    <n v="3"/>
    <n v="2"/>
    <n v="1414"/>
    <x v="32"/>
    <x v="1"/>
  </r>
  <r>
    <n v="134900"/>
    <n v="3"/>
    <n v="2.5"/>
    <n v="1447"/>
    <x v="27"/>
    <x v="1"/>
  </r>
  <r>
    <n v="134900"/>
    <n v="4"/>
    <n v="2"/>
    <n v="1639"/>
    <x v="15"/>
    <x v="1"/>
  </r>
  <r>
    <n v="134900"/>
    <n v="3"/>
    <n v="2"/>
    <n v="1507"/>
    <x v="23"/>
    <x v="1"/>
  </r>
  <r>
    <n v="135000"/>
    <n v="3"/>
    <n v="2"/>
    <n v="1258"/>
    <x v="38"/>
    <x v="1"/>
  </r>
  <r>
    <n v="135000"/>
    <n v="3"/>
    <n v="2"/>
    <n v="1300"/>
    <x v="24"/>
    <x v="2"/>
  </r>
  <r>
    <n v="135000"/>
    <n v="3"/>
    <n v="2.5"/>
    <n v="1513"/>
    <x v="44"/>
    <x v="1"/>
  </r>
  <r>
    <n v="135000"/>
    <n v="3"/>
    <n v="2.5"/>
    <n v="1338"/>
    <x v="48"/>
    <x v="1"/>
  </r>
  <r>
    <n v="135000"/>
    <n v="4"/>
    <n v="2.5"/>
    <n v="1848"/>
    <x v="43"/>
    <x v="1"/>
  </r>
  <r>
    <n v="135000"/>
    <n v="4"/>
    <n v="2.5"/>
    <n v="1765"/>
    <x v="28"/>
    <x v="4"/>
  </r>
  <r>
    <n v="135000"/>
    <n v="2"/>
    <n v="1.5"/>
    <n v="1152"/>
    <x v="49"/>
    <x v="2"/>
  </r>
  <r>
    <n v="135000"/>
    <n v="3"/>
    <n v="2"/>
    <n v="1412"/>
    <x v="33"/>
    <x v="8"/>
  </r>
  <r>
    <n v="135900"/>
    <n v="3"/>
    <n v="2.5"/>
    <n v="1430"/>
    <x v="19"/>
    <x v="4"/>
  </r>
  <r>
    <n v="136000"/>
    <n v="3"/>
    <n v="2.5"/>
    <n v="1635"/>
    <x v="33"/>
    <x v="2"/>
  </r>
  <r>
    <n v="138497"/>
    <n v="4"/>
    <n v="2.5"/>
    <n v="1780"/>
    <x v="34"/>
    <x v="1"/>
  </r>
  <r>
    <n v="138497"/>
    <n v="4"/>
    <n v="2.5"/>
    <n v="1780"/>
    <x v="34"/>
    <x v="1"/>
  </r>
  <r>
    <n v="138500"/>
    <n v="3"/>
    <n v="2.5"/>
    <n v="1800"/>
    <x v="28"/>
    <x v="2"/>
  </r>
  <r>
    <n v="138900"/>
    <n v="3"/>
    <n v="2"/>
    <n v="1389"/>
    <x v="47"/>
    <x v="1"/>
  </r>
  <r>
    <n v="139000"/>
    <n v="3"/>
    <n v="2.5"/>
    <n v="2000"/>
    <x v="44"/>
    <x v="1"/>
  </r>
  <r>
    <n v="139000"/>
    <n v="4"/>
    <n v="1.5"/>
    <n v="1626"/>
    <x v="4"/>
    <x v="1"/>
  </r>
  <r>
    <n v="139000"/>
    <n v="3"/>
    <n v="2"/>
    <n v="1455"/>
    <x v="50"/>
    <x v="4"/>
  </r>
  <r>
    <n v="139000"/>
    <n v="3"/>
    <n v="2.5"/>
    <n v="1645"/>
    <x v="33"/>
    <x v="4"/>
  </r>
  <r>
    <n v="139500"/>
    <n v="3"/>
    <n v="2.5"/>
    <n v="1480"/>
    <x v="22"/>
    <x v="2"/>
  </r>
  <r>
    <n v="139900"/>
    <n v="3"/>
    <n v="2.5"/>
    <n v="1650"/>
    <x v="13"/>
    <x v="3"/>
  </r>
  <r>
    <n v="139900"/>
    <n v="3"/>
    <n v="1.5"/>
    <n v="1207"/>
    <x v="37"/>
    <x v="4"/>
  </r>
  <r>
    <n v="139900"/>
    <n v="3"/>
    <n v="2"/>
    <n v="1400"/>
    <x v="27"/>
    <x v="2"/>
  </r>
  <r>
    <n v="139900"/>
    <n v="3"/>
    <n v="2"/>
    <n v="1338"/>
    <x v="28"/>
    <x v="2"/>
  </r>
  <r>
    <n v="139900"/>
    <n v="3"/>
    <n v="2.5"/>
    <n v="1805"/>
    <x v="34"/>
    <x v="1"/>
  </r>
  <r>
    <n v="139900"/>
    <n v="3"/>
    <n v="2.5"/>
    <n v="2335"/>
    <x v="43"/>
    <x v="1"/>
  </r>
  <r>
    <n v="139900"/>
    <n v="3"/>
    <n v="2"/>
    <n v="1240"/>
    <x v="51"/>
    <x v="4"/>
  </r>
  <r>
    <n v="139900"/>
    <n v="4"/>
    <n v="3"/>
    <n v="1663"/>
    <x v="50"/>
    <x v="6"/>
  </r>
  <r>
    <n v="139900"/>
    <n v="3"/>
    <n v="2.5"/>
    <n v="1574"/>
    <x v="17"/>
    <x v="1"/>
  </r>
  <r>
    <n v="139999"/>
    <n v="3"/>
    <n v="2.5"/>
    <n v="1738"/>
    <x v="13"/>
    <x v="1"/>
  </r>
  <r>
    <n v="139999"/>
    <n v="3"/>
    <n v="2"/>
    <n v="1274"/>
    <x v="33"/>
    <x v="4"/>
  </r>
  <r>
    <n v="139999"/>
    <n v="3"/>
    <n v="2.5"/>
    <n v="1610"/>
    <x v="44"/>
    <x v="1"/>
  </r>
  <r>
    <n v="141000"/>
    <n v="4"/>
    <n v="2.5"/>
    <n v="1569"/>
    <x v="52"/>
    <x v="1"/>
  </r>
  <r>
    <n v="141340"/>
    <n v="3"/>
    <n v="2.5"/>
    <n v="1805"/>
    <x v="34"/>
    <x v="1"/>
  </r>
  <r>
    <n v="142000"/>
    <n v="3"/>
    <n v="2.5"/>
    <n v="1459"/>
    <x v="51"/>
    <x v="4"/>
  </r>
  <r>
    <n v="142000"/>
    <n v="3"/>
    <n v="2"/>
    <n v="1942"/>
    <x v="7"/>
    <x v="2"/>
  </r>
  <r>
    <n v="142000"/>
    <n v="3"/>
    <n v="2.5"/>
    <n v="1675"/>
    <x v="33"/>
    <x v="2"/>
  </r>
  <r>
    <n v="142000"/>
    <n v="3"/>
    <n v="2"/>
    <n v="1116"/>
    <x v="26"/>
    <x v="4"/>
  </r>
  <r>
    <n v="142000"/>
    <n v="3"/>
    <n v="1.5"/>
    <n v="1600"/>
    <x v="53"/>
    <x v="4"/>
  </r>
  <r>
    <n v="142500"/>
    <n v="3"/>
    <n v="2.5"/>
    <n v="1405"/>
    <x v="17"/>
    <x v="4"/>
  </r>
  <r>
    <n v="142822"/>
    <n v="4"/>
    <n v="2.5"/>
    <n v="1860"/>
    <x v="34"/>
    <x v="1"/>
  </r>
  <r>
    <n v="142900"/>
    <n v="4"/>
    <n v="2"/>
    <n v="1522"/>
    <x v="27"/>
    <x v="2"/>
  </r>
  <r>
    <n v="142900"/>
    <n v="3"/>
    <n v="2"/>
    <n v="1433"/>
    <x v="47"/>
    <x v="1"/>
  </r>
  <r>
    <n v="143640"/>
    <n v="4"/>
    <n v="2.5"/>
    <n v="1826"/>
    <x v="47"/>
    <x v="1"/>
  </r>
  <r>
    <n v="144000"/>
    <n v="3"/>
    <n v="2"/>
    <n v="1572"/>
    <x v="54"/>
    <x v="3"/>
  </r>
  <r>
    <n v="144900"/>
    <n v="3"/>
    <n v="1"/>
    <n v="1420"/>
    <x v="1"/>
    <x v="1"/>
  </r>
  <r>
    <n v="144900"/>
    <n v="4"/>
    <n v="2.5"/>
    <n v="1589"/>
    <x v="55"/>
    <x v="1"/>
  </r>
  <r>
    <n v="144900"/>
    <n v="4"/>
    <n v="2.5"/>
    <n v="2125"/>
    <x v="32"/>
    <x v="2"/>
  </r>
  <r>
    <n v="144900"/>
    <n v="3"/>
    <n v="2.5"/>
    <n v="1978"/>
    <x v="44"/>
    <x v="1"/>
  </r>
  <r>
    <n v="144900"/>
    <n v="3"/>
    <n v="1"/>
    <n v="1152"/>
    <x v="56"/>
    <x v="1"/>
  </r>
  <r>
    <n v="144990"/>
    <n v="4"/>
    <n v="2.5"/>
    <n v="1826"/>
    <x v="34"/>
    <x v="1"/>
  </r>
  <r>
    <n v="145000"/>
    <n v="3"/>
    <n v="1.5"/>
    <n v="1556"/>
    <x v="57"/>
    <x v="7"/>
  </r>
  <r>
    <n v="145000"/>
    <n v="4"/>
    <n v="2.5"/>
    <n v="1696"/>
    <x v="43"/>
    <x v="1"/>
  </r>
  <r>
    <n v="145000"/>
    <n v="3"/>
    <n v="2.5"/>
    <n v="1519"/>
    <x v="43"/>
    <x v="1"/>
  </r>
  <r>
    <n v="145900"/>
    <n v="2"/>
    <n v="1"/>
    <n v="840"/>
    <x v="58"/>
    <x v="9"/>
  </r>
  <r>
    <n v="146500"/>
    <n v="3"/>
    <n v="2.5"/>
    <n v="1501"/>
    <x v="46"/>
    <x v="4"/>
  </r>
  <r>
    <n v="147000"/>
    <n v="3"/>
    <n v="2.5"/>
    <n v="1515"/>
    <x v="46"/>
    <x v="4"/>
  </r>
  <r>
    <n v="147436"/>
    <n v="3"/>
    <n v="2"/>
    <n v="1798"/>
    <x v="34"/>
    <x v="1"/>
  </r>
  <r>
    <n v="147436"/>
    <n v="3"/>
    <n v="2"/>
    <n v="1798"/>
    <x v="34"/>
    <x v="1"/>
  </r>
  <r>
    <n v="147900"/>
    <n v="3"/>
    <n v="2.5"/>
    <n v="1726"/>
    <x v="13"/>
    <x v="2"/>
  </r>
  <r>
    <n v="149800"/>
    <n v="4"/>
    <n v="3"/>
    <n v="2035"/>
    <x v="59"/>
    <x v="1"/>
  </r>
  <r>
    <n v="149900"/>
    <n v="3"/>
    <n v="1"/>
    <n v="1300"/>
    <x v="60"/>
    <x v="10"/>
  </r>
  <r>
    <n v="149900"/>
    <n v="3"/>
    <n v="2.5"/>
    <n v="1890"/>
    <x v="31"/>
    <x v="4"/>
  </r>
  <r>
    <n v="149900"/>
    <n v="5"/>
    <n v="2.5"/>
    <n v="2284"/>
    <x v="39"/>
    <x v="1"/>
  </r>
  <r>
    <n v="149900"/>
    <n v="3"/>
    <n v="2"/>
    <n v="1376"/>
    <x v="31"/>
    <x v="2"/>
  </r>
  <r>
    <n v="149900"/>
    <n v="4"/>
    <n v="2.5"/>
    <n v="2220"/>
    <x v="61"/>
    <x v="2"/>
  </r>
  <r>
    <n v="149900"/>
    <n v="3"/>
    <n v="2.5"/>
    <n v="1802"/>
    <x v="55"/>
    <x v="1"/>
  </r>
  <r>
    <n v="149900"/>
    <n v="3"/>
    <n v="1"/>
    <n v="1176"/>
    <x v="50"/>
    <x v="1"/>
  </r>
  <r>
    <n v="149900"/>
    <n v="3"/>
    <n v="2"/>
    <n v="1333"/>
    <x v="17"/>
    <x v="2"/>
  </r>
  <r>
    <n v="149900"/>
    <n v="3"/>
    <n v="2.5"/>
    <n v="1640"/>
    <x v="28"/>
    <x v="1"/>
  </r>
  <r>
    <n v="149900"/>
    <n v="4"/>
    <n v="2.5"/>
    <n v="1924"/>
    <x v="23"/>
    <x v="1"/>
  </r>
  <r>
    <n v="149900"/>
    <n v="3"/>
    <n v="2"/>
    <n v="1105"/>
    <x v="49"/>
    <x v="4"/>
  </r>
  <r>
    <n v="149967"/>
    <n v="3"/>
    <n v="3"/>
    <n v="2053"/>
    <x v="34"/>
    <x v="1"/>
  </r>
  <r>
    <n v="149967"/>
    <n v="4"/>
    <n v="3"/>
    <n v="2053"/>
    <x v="34"/>
    <x v="1"/>
  </r>
  <r>
    <n v="149990"/>
    <n v="4"/>
    <n v="2.5"/>
    <n v="1826"/>
    <x v="34"/>
    <x v="1"/>
  </r>
  <r>
    <n v="150000"/>
    <n v="3"/>
    <n v="2.5"/>
    <n v="1467"/>
    <x v="22"/>
    <x v="4"/>
  </r>
  <r>
    <n v="150000"/>
    <n v="4"/>
    <n v="2.5"/>
    <n v="2507"/>
    <x v="43"/>
    <x v="1"/>
  </r>
  <r>
    <n v="150000"/>
    <n v="3"/>
    <n v="2.5"/>
    <n v="2215"/>
    <x v="59"/>
    <x v="1"/>
  </r>
  <r>
    <n v="150000"/>
    <n v="3"/>
    <n v="2"/>
    <n v="1356"/>
    <x v="24"/>
    <x v="2"/>
  </r>
  <r>
    <n v="150000"/>
    <n v="3"/>
    <n v="2"/>
    <n v="1440"/>
    <x v="38"/>
    <x v="4"/>
  </r>
  <r>
    <n v="150000"/>
    <n v="4"/>
    <n v="2.5"/>
    <n v="1763"/>
    <x v="62"/>
    <x v="1"/>
  </r>
  <r>
    <n v="150000"/>
    <n v="3"/>
    <n v="2.5"/>
    <n v="1435"/>
    <x v="51"/>
    <x v="4"/>
  </r>
  <r>
    <n v="150000"/>
    <n v="3"/>
    <n v="2.5"/>
    <n v="2367"/>
    <x v="32"/>
    <x v="1"/>
  </r>
  <r>
    <n v="150000"/>
    <n v="3"/>
    <n v="1.5"/>
    <n v="1357"/>
    <x v="12"/>
    <x v="4"/>
  </r>
  <r>
    <n v="151000"/>
    <n v="5"/>
    <n v="2.5"/>
    <n v="2000"/>
    <x v="31"/>
    <x v="4"/>
  </r>
  <r>
    <n v="153000"/>
    <n v="4"/>
    <n v="2.5"/>
    <n v="2260"/>
    <x v="41"/>
    <x v="4"/>
  </r>
  <r>
    <n v="153000"/>
    <n v="3"/>
    <n v="2.5"/>
    <n v="1676"/>
    <x v="17"/>
    <x v="3"/>
  </r>
  <r>
    <n v="153000"/>
    <n v="3"/>
    <n v="2.5"/>
    <n v="1820"/>
    <x v="44"/>
    <x v="1"/>
  </r>
  <r>
    <n v="154900"/>
    <n v="4"/>
    <n v="2"/>
    <n v="1360"/>
    <x v="56"/>
    <x v="9"/>
  </r>
  <r>
    <n v="154900"/>
    <n v="3"/>
    <n v="1"/>
    <n v="1050"/>
    <x v="16"/>
    <x v="6"/>
  </r>
  <r>
    <n v="154900"/>
    <n v="3"/>
    <n v="2"/>
    <n v="1640"/>
    <x v="37"/>
    <x v="4"/>
  </r>
  <r>
    <n v="155000"/>
    <n v="3"/>
    <n v="1.5"/>
    <n v="1218"/>
    <x v="53"/>
    <x v="4"/>
  </r>
  <r>
    <n v="155000"/>
    <n v="3"/>
    <n v="2.5"/>
    <n v="1375"/>
    <x v="57"/>
    <x v="7"/>
  </r>
  <r>
    <n v="155000"/>
    <n v="4"/>
    <n v="2.5"/>
    <n v="1950"/>
    <x v="33"/>
    <x v="2"/>
  </r>
  <r>
    <n v="155000"/>
    <n v="3"/>
    <n v="2.5"/>
    <n v="1366"/>
    <x v="59"/>
    <x v="4"/>
  </r>
  <r>
    <n v="155000"/>
    <n v="3"/>
    <n v="2"/>
    <n v="1544"/>
    <x v="2"/>
    <x v="6"/>
  </r>
  <r>
    <n v="155000"/>
    <n v="4"/>
    <n v="2"/>
    <n v="2360"/>
    <x v="8"/>
    <x v="6"/>
  </r>
  <r>
    <n v="155900"/>
    <n v="3"/>
    <n v="2"/>
    <n v="1845"/>
    <x v="6"/>
    <x v="3"/>
  </r>
  <r>
    <n v="156990"/>
    <n v="4"/>
    <n v="2.5"/>
    <n v="1900"/>
    <x v="34"/>
    <x v="1"/>
  </r>
  <r>
    <n v="157900"/>
    <n v="3"/>
    <n v="2"/>
    <n v="1300"/>
    <x v="42"/>
    <x v="11"/>
  </r>
  <r>
    <n v="158000"/>
    <n v="4"/>
    <n v="2.5"/>
    <n v="1934"/>
    <x v="61"/>
    <x v="2"/>
  </r>
  <r>
    <n v="158899"/>
    <n v="3"/>
    <n v="2.5"/>
    <n v="1889"/>
    <x v="44"/>
    <x v="1"/>
  </r>
  <r>
    <n v="159000"/>
    <n v="3"/>
    <n v="1.5"/>
    <n v="1558"/>
    <x v="53"/>
    <x v="7"/>
  </r>
  <r>
    <n v="159900"/>
    <n v="3"/>
    <n v="1"/>
    <n v="1231"/>
    <x v="30"/>
    <x v="10"/>
  </r>
  <r>
    <n v="159900"/>
    <n v="4"/>
    <n v="2.5"/>
    <n v="2114"/>
    <x v="31"/>
    <x v="4"/>
  </r>
  <r>
    <n v="159900"/>
    <n v="4"/>
    <n v="2.5"/>
    <n v="1722"/>
    <x v="59"/>
    <x v="2"/>
  </r>
  <r>
    <n v="159900"/>
    <n v="3"/>
    <n v="2"/>
    <n v="1470"/>
    <x v="46"/>
    <x v="2"/>
  </r>
  <r>
    <n v="159900"/>
    <n v="3"/>
    <n v="2.5"/>
    <n v="1379"/>
    <x v="38"/>
    <x v="2"/>
  </r>
  <r>
    <n v="159900"/>
    <n v="3"/>
    <n v="2.5"/>
    <n v="1747"/>
    <x v="13"/>
    <x v="2"/>
  </r>
  <r>
    <n v="159900"/>
    <n v="3"/>
    <n v="2.5"/>
    <n v="1455"/>
    <x v="17"/>
    <x v="4"/>
  </r>
  <r>
    <n v="159900"/>
    <n v="3"/>
    <n v="2.5"/>
    <n v="1750"/>
    <x v="44"/>
    <x v="1"/>
  </r>
  <r>
    <n v="159900"/>
    <n v="3"/>
    <n v="2.5"/>
    <n v="1752"/>
    <x v="25"/>
    <x v="2"/>
  </r>
  <r>
    <n v="159900"/>
    <n v="3"/>
    <n v="2"/>
    <n v="1346"/>
    <x v="0"/>
    <x v="1"/>
  </r>
  <r>
    <n v="160000"/>
    <n v="3"/>
    <n v="2.5"/>
    <n v="1880"/>
    <x v="44"/>
    <x v="1"/>
  </r>
  <r>
    <n v="160000"/>
    <n v="4"/>
    <n v="2.5"/>
    <n v="1726"/>
    <x v="61"/>
    <x v="1"/>
  </r>
  <r>
    <n v="162640"/>
    <n v="3"/>
    <n v="2.5"/>
    <n v="2104"/>
    <x v="34"/>
    <x v="1"/>
  </r>
  <r>
    <n v="163000"/>
    <n v="3"/>
    <n v="2.5"/>
    <n v="2294"/>
    <x v="43"/>
    <x v="1"/>
  </r>
  <r>
    <n v="163000"/>
    <n v="3"/>
    <n v="2.5"/>
    <n v="2430"/>
    <x v="44"/>
    <x v="1"/>
  </r>
  <r>
    <n v="163500"/>
    <n v="3"/>
    <n v="2"/>
    <n v="1600"/>
    <x v="32"/>
    <x v="2"/>
  </r>
  <r>
    <n v="164900"/>
    <n v="3"/>
    <n v="2"/>
    <n v="1140"/>
    <x v="8"/>
    <x v="6"/>
  </r>
  <r>
    <n v="164900"/>
    <n v="4"/>
    <n v="2.5"/>
    <n v="2199"/>
    <x v="27"/>
    <x v="4"/>
  </r>
  <r>
    <n v="164900"/>
    <n v="3"/>
    <n v="2.5"/>
    <n v="1662"/>
    <x v="46"/>
    <x v="1"/>
  </r>
  <r>
    <n v="164900"/>
    <n v="4"/>
    <n v="2"/>
    <n v="1621"/>
    <x v="36"/>
    <x v="1"/>
  </r>
  <r>
    <n v="164900"/>
    <n v="3"/>
    <n v="2"/>
    <n v="1642"/>
    <x v="17"/>
    <x v="4"/>
  </r>
  <r>
    <n v="164990"/>
    <n v="4"/>
    <n v="3.5"/>
    <n v="2410"/>
    <x v="34"/>
    <x v="1"/>
  </r>
  <r>
    <n v="165000"/>
    <n v="3"/>
    <n v="2.5"/>
    <n v="1779"/>
    <x v="12"/>
    <x v="12"/>
  </r>
  <r>
    <n v="165000"/>
    <n v="3"/>
    <n v="2"/>
    <n v="1419"/>
    <x v="39"/>
    <x v="2"/>
  </r>
  <r>
    <n v="165000"/>
    <n v="5"/>
    <n v="3"/>
    <n v="2400"/>
    <x v="63"/>
    <x v="0"/>
  </r>
  <r>
    <n v="165000"/>
    <n v="3"/>
    <n v="2.5"/>
    <n v="1723"/>
    <x v="32"/>
    <x v="1"/>
  </r>
  <r>
    <n v="165000"/>
    <n v="3"/>
    <n v="2.5"/>
    <n v="1874"/>
    <x v="55"/>
    <x v="1"/>
  </r>
  <r>
    <n v="165000"/>
    <n v="3"/>
    <n v="2.5"/>
    <n v="1488"/>
    <x v="22"/>
    <x v="2"/>
  </r>
  <r>
    <n v="165800"/>
    <n v="3"/>
    <n v="2.5"/>
    <n v="2060"/>
    <x v="13"/>
    <x v="4"/>
  </r>
  <r>
    <n v="166290"/>
    <n v="4"/>
    <n v="2.5"/>
    <n v="2304"/>
    <x v="34"/>
    <x v="1"/>
  </r>
  <r>
    <n v="167900"/>
    <n v="2"/>
    <n v="1"/>
    <n v="1135"/>
    <x v="64"/>
    <x v="3"/>
  </r>
  <r>
    <n v="167900"/>
    <n v="3"/>
    <n v="2.5"/>
    <n v="1559"/>
    <x v="59"/>
    <x v="2"/>
  </r>
  <r>
    <n v="168852"/>
    <n v="4"/>
    <n v="2.5"/>
    <n v="2200"/>
    <x v="32"/>
    <x v="1"/>
  </r>
  <r>
    <n v="168900"/>
    <n v="3"/>
    <n v="2"/>
    <n v="1842"/>
    <x v="9"/>
    <x v="4"/>
  </r>
  <r>
    <n v="169000"/>
    <n v="4"/>
    <n v="2.5"/>
    <n v="1927"/>
    <x v="22"/>
    <x v="2"/>
  </r>
  <r>
    <n v="169900"/>
    <n v="3"/>
    <n v="2"/>
    <n v="1416"/>
    <x v="25"/>
    <x v="3"/>
  </r>
  <r>
    <n v="169900"/>
    <n v="3"/>
    <n v="2.5"/>
    <n v="1321"/>
    <x v="34"/>
    <x v="8"/>
  </r>
  <r>
    <n v="169900"/>
    <n v="3"/>
    <n v="3"/>
    <n v="1393"/>
    <x v="13"/>
    <x v="12"/>
  </r>
  <r>
    <n v="169900"/>
    <n v="3"/>
    <n v="2.5"/>
    <n v="1596"/>
    <x v="13"/>
    <x v="2"/>
  </r>
  <r>
    <n v="169900"/>
    <n v="4"/>
    <n v="3.5"/>
    <n v="2820"/>
    <x v="65"/>
    <x v="1"/>
  </r>
  <r>
    <n v="169900"/>
    <n v="3"/>
    <n v="2"/>
    <n v="1470"/>
    <x v="27"/>
    <x v="2"/>
  </r>
  <r>
    <n v="169900"/>
    <n v="3"/>
    <n v="2.5"/>
    <n v="1835"/>
    <x v="34"/>
    <x v="1"/>
  </r>
  <r>
    <n v="169900"/>
    <n v="4"/>
    <n v="2.5"/>
    <n v="1835"/>
    <x v="34"/>
    <x v="1"/>
  </r>
  <r>
    <n v="169900"/>
    <n v="3"/>
    <n v="2"/>
    <n v="1754"/>
    <x v="28"/>
    <x v="4"/>
  </r>
  <r>
    <n v="169900"/>
    <n v="3"/>
    <n v="2"/>
    <n v="1650"/>
    <x v="39"/>
    <x v="4"/>
  </r>
  <r>
    <n v="169900"/>
    <n v="4"/>
    <n v="2.5"/>
    <n v="1826"/>
    <x v="44"/>
    <x v="1"/>
  </r>
  <r>
    <n v="170000"/>
    <n v="2"/>
    <n v="1"/>
    <n v="1100"/>
    <x v="16"/>
    <x v="10"/>
  </r>
  <r>
    <n v="170000"/>
    <n v="3"/>
    <n v="1"/>
    <n v="2018"/>
    <x v="0"/>
    <x v="1"/>
  </r>
  <r>
    <n v="170000"/>
    <n v="3"/>
    <n v="2.5"/>
    <n v="1820"/>
    <x v="27"/>
    <x v="2"/>
  </r>
  <r>
    <n v="170000"/>
    <n v="4"/>
    <n v="3"/>
    <n v="3020"/>
    <x v="59"/>
    <x v="1"/>
  </r>
  <r>
    <n v="170000"/>
    <n v="3"/>
    <n v="1"/>
    <n v="1346"/>
    <x v="5"/>
    <x v="0"/>
  </r>
  <r>
    <n v="171000"/>
    <n v="4"/>
    <n v="2.5"/>
    <n v="1908"/>
    <x v="31"/>
    <x v="2"/>
  </r>
  <r>
    <n v="171900"/>
    <n v="3"/>
    <n v="2.5"/>
    <n v="1648"/>
    <x v="61"/>
    <x v="4"/>
  </r>
  <r>
    <n v="172000"/>
    <n v="3"/>
    <n v="2"/>
    <n v="1050"/>
    <x v="61"/>
    <x v="13"/>
  </r>
  <r>
    <n v="172000"/>
    <n v="4"/>
    <n v="2.5"/>
    <n v="1905"/>
    <x v="44"/>
    <x v="1"/>
  </r>
  <r>
    <n v="173000"/>
    <n v="4"/>
    <n v="3"/>
    <n v="2007"/>
    <x v="17"/>
    <x v="2"/>
  </r>
  <r>
    <n v="174000"/>
    <n v="3"/>
    <n v="3"/>
    <n v="2200"/>
    <x v="9"/>
    <x v="2"/>
  </r>
  <r>
    <n v="174500"/>
    <n v="4"/>
    <n v="3"/>
    <n v="2273"/>
    <x v="66"/>
    <x v="3"/>
  </r>
  <r>
    <n v="174900"/>
    <n v="4"/>
    <n v="2"/>
    <n v="1424"/>
    <x v="30"/>
    <x v="10"/>
  </r>
  <r>
    <n v="174900"/>
    <n v="4"/>
    <n v="3"/>
    <n v="2540"/>
    <x v="15"/>
    <x v="4"/>
  </r>
  <r>
    <n v="174900"/>
    <n v="3"/>
    <n v="3"/>
    <n v="2104"/>
    <x v="44"/>
    <x v="1"/>
  </r>
  <r>
    <n v="174900"/>
    <n v="4"/>
    <n v="2"/>
    <n v="1655"/>
    <x v="31"/>
    <x v="2"/>
  </r>
  <r>
    <n v="174900"/>
    <n v="4"/>
    <n v="2.5"/>
    <n v="2003"/>
    <x v="39"/>
    <x v="4"/>
  </r>
  <r>
    <n v="174900"/>
    <n v="3"/>
    <n v="2"/>
    <n v="1440"/>
    <x v="42"/>
    <x v="7"/>
  </r>
  <r>
    <n v="174900"/>
    <n v="2"/>
    <n v="1"/>
    <n v="964"/>
    <x v="56"/>
    <x v="9"/>
  </r>
  <r>
    <n v="174900"/>
    <n v="2"/>
    <n v="2"/>
    <n v="895"/>
    <x v="56"/>
    <x v="9"/>
  </r>
  <r>
    <n v="175000"/>
    <n v="3"/>
    <n v="2.5"/>
    <n v="1852"/>
    <x v="31"/>
    <x v="2"/>
  </r>
  <r>
    <n v="175000"/>
    <n v="3"/>
    <n v="2.5"/>
    <n v="1972"/>
    <x v="44"/>
    <x v="2"/>
  </r>
  <r>
    <n v="175000"/>
    <n v="4"/>
    <n v="2.5"/>
    <n v="2293"/>
    <x v="32"/>
    <x v="2"/>
  </r>
  <r>
    <n v="175000"/>
    <n v="3"/>
    <n v="2.5"/>
    <n v="1899"/>
    <x v="24"/>
    <x v="14"/>
  </r>
  <r>
    <n v="175000"/>
    <n v="3"/>
    <n v="2.5"/>
    <n v="1373"/>
    <x v="13"/>
    <x v="7"/>
  </r>
  <r>
    <n v="175000"/>
    <n v="3"/>
    <n v="2.5"/>
    <n v="1620"/>
    <x v="59"/>
    <x v="7"/>
  </r>
  <r>
    <n v="175000"/>
    <n v="4"/>
    <n v="3.5"/>
    <n v="1928"/>
    <x v="10"/>
    <x v="4"/>
  </r>
  <r>
    <n v="175000"/>
    <n v="3"/>
    <n v="2"/>
    <n v="1600"/>
    <x v="0"/>
    <x v="1"/>
  </r>
  <r>
    <n v="175000"/>
    <n v="3"/>
    <n v="2.5"/>
    <n v="2277"/>
    <x v="44"/>
    <x v="1"/>
  </r>
  <r>
    <n v="175000"/>
    <n v="4"/>
    <n v="2.5"/>
    <n v="2285"/>
    <x v="51"/>
    <x v="4"/>
  </r>
  <r>
    <n v="175990"/>
    <n v="3"/>
    <n v="2.5"/>
    <n v="2357"/>
    <x v="34"/>
    <x v="1"/>
  </r>
  <r>
    <n v="177472"/>
    <n v="4"/>
    <n v="2.5"/>
    <n v="1918"/>
    <x v="47"/>
    <x v="1"/>
  </r>
  <r>
    <n v="178000"/>
    <n v="3"/>
    <n v="2.5"/>
    <n v="2968"/>
    <x v="59"/>
    <x v="1"/>
  </r>
  <r>
    <n v="178500"/>
    <n v="3"/>
    <n v="2.5"/>
    <n v="1820"/>
    <x v="24"/>
    <x v="4"/>
  </r>
  <r>
    <n v="179000"/>
    <n v="4"/>
    <n v="5"/>
    <n v="1630"/>
    <x v="12"/>
    <x v="10"/>
  </r>
  <r>
    <n v="179000"/>
    <n v="3"/>
    <n v="2.5"/>
    <n v="1325"/>
    <x v="54"/>
    <x v="8"/>
  </r>
  <r>
    <n v="179000"/>
    <n v="1"/>
    <n v="1"/>
    <n v="496"/>
    <x v="67"/>
    <x v="9"/>
  </r>
  <r>
    <n v="179500"/>
    <n v="4"/>
    <n v="2.5"/>
    <n v="2018"/>
    <x v="59"/>
    <x v="1"/>
  </r>
  <r>
    <n v="179900"/>
    <n v="4"/>
    <n v="2.5"/>
    <n v="2200"/>
    <x v="43"/>
    <x v="1"/>
  </r>
  <r>
    <n v="179900"/>
    <n v="3"/>
    <n v="2.5"/>
    <n v="1921"/>
    <x v="25"/>
    <x v="2"/>
  </r>
  <r>
    <n v="179900"/>
    <n v="3"/>
    <n v="2.5"/>
    <n v="1729"/>
    <x v="47"/>
    <x v="1"/>
  </r>
  <r>
    <n v="179900"/>
    <n v="4"/>
    <n v="2.5"/>
    <n v="1859"/>
    <x v="44"/>
    <x v="1"/>
  </r>
  <r>
    <n v="179900"/>
    <n v="4"/>
    <n v="3"/>
    <n v="2433"/>
    <x v="31"/>
    <x v="2"/>
  </r>
  <r>
    <n v="179900"/>
    <n v="3"/>
    <n v="1"/>
    <n v="1013"/>
    <x v="41"/>
    <x v="1"/>
  </r>
  <r>
    <n v="179900"/>
    <n v="3"/>
    <n v="2"/>
    <n v="1494"/>
    <x v="6"/>
    <x v="6"/>
  </r>
  <r>
    <n v="179900"/>
    <n v="3"/>
    <n v="2.5"/>
    <n v="1263"/>
    <x v="28"/>
    <x v="15"/>
  </r>
  <r>
    <n v="182900"/>
    <n v="4"/>
    <n v="2"/>
    <n v="2728"/>
    <x v="6"/>
    <x v="4"/>
  </r>
  <r>
    <n v="183000"/>
    <n v="4"/>
    <n v="2.5"/>
    <n v="2244"/>
    <x v="16"/>
    <x v="1"/>
  </r>
  <r>
    <n v="183768"/>
    <n v="3"/>
    <n v="2.5"/>
    <n v="1480"/>
    <x v="31"/>
    <x v="16"/>
  </r>
  <r>
    <n v="184900"/>
    <n v="3"/>
    <n v="2.5"/>
    <n v="2734"/>
    <x v="32"/>
    <x v="17"/>
  </r>
  <r>
    <n v="184900"/>
    <n v="3"/>
    <n v="2.5"/>
    <n v="1811"/>
    <x v="44"/>
    <x v="2"/>
  </r>
  <r>
    <n v="184900"/>
    <n v="3"/>
    <n v="1.5"/>
    <n v="1623"/>
    <x v="68"/>
    <x v="8"/>
  </r>
  <r>
    <n v="185000"/>
    <n v="3"/>
    <n v="2.5"/>
    <n v="1635"/>
    <x v="21"/>
    <x v="11"/>
  </r>
  <r>
    <n v="185000"/>
    <n v="3"/>
    <n v="2.5"/>
    <n v="2700"/>
    <x v="59"/>
    <x v="1"/>
  </r>
  <r>
    <n v="185000"/>
    <n v="3"/>
    <n v="1"/>
    <n v="1032"/>
    <x v="0"/>
    <x v="12"/>
  </r>
  <r>
    <n v="185000"/>
    <n v="3"/>
    <n v="2.5"/>
    <n v="1353"/>
    <x v="13"/>
    <x v="16"/>
  </r>
  <r>
    <n v="185000"/>
    <n v="4"/>
    <n v="2.5"/>
    <n v="1908"/>
    <x v="39"/>
    <x v="4"/>
  </r>
  <r>
    <n v="186000"/>
    <n v="4"/>
    <n v="2.5"/>
    <n v="2184"/>
    <x v="17"/>
    <x v="1"/>
  </r>
  <r>
    <n v="187500"/>
    <n v="5"/>
    <n v="2.5"/>
    <n v="2055"/>
    <x v="52"/>
    <x v="1"/>
  </r>
  <r>
    <n v="187900"/>
    <n v="3"/>
    <n v="2.5"/>
    <n v="2009"/>
    <x v="43"/>
    <x v="4"/>
  </r>
  <r>
    <n v="188500"/>
    <n v="4"/>
    <n v="2.5"/>
    <n v="2370"/>
    <x v="25"/>
    <x v="1"/>
  </r>
  <r>
    <n v="188900"/>
    <n v="3"/>
    <n v="2"/>
    <n v="1842"/>
    <x v="61"/>
    <x v="2"/>
  </r>
  <r>
    <n v="189000"/>
    <n v="3"/>
    <n v="2"/>
    <n v="1813"/>
    <x v="34"/>
    <x v="1"/>
  </r>
  <r>
    <n v="189000"/>
    <n v="3"/>
    <n v="2.5"/>
    <n v="2158"/>
    <x v="46"/>
    <x v="4"/>
  </r>
  <r>
    <n v="189000"/>
    <n v="5"/>
    <n v="3.5"/>
    <n v="2687"/>
    <x v="44"/>
    <x v="2"/>
  </r>
  <r>
    <n v="189000"/>
    <n v="4"/>
    <n v="3"/>
    <n v="2418"/>
    <x v="27"/>
    <x v="2"/>
  </r>
  <r>
    <n v="189900"/>
    <n v="3"/>
    <n v="2"/>
    <n v="1617"/>
    <x v="69"/>
    <x v="6"/>
  </r>
  <r>
    <n v="189900"/>
    <n v="4"/>
    <n v="2.5"/>
    <n v="1910"/>
    <x v="46"/>
    <x v="2"/>
  </r>
  <r>
    <n v="189900"/>
    <n v="4"/>
    <n v="2.5"/>
    <n v="2046"/>
    <x v="54"/>
    <x v="2"/>
  </r>
  <r>
    <n v="189900"/>
    <n v="4"/>
    <n v="2"/>
    <n v="1648"/>
    <x v="6"/>
    <x v="6"/>
  </r>
  <r>
    <n v="190000"/>
    <n v="4"/>
    <n v="2.5"/>
    <n v="1900"/>
    <x v="6"/>
    <x v="6"/>
  </r>
  <r>
    <n v="190000"/>
    <n v="3"/>
    <n v="1.5"/>
    <n v="1614"/>
    <x v="18"/>
    <x v="6"/>
  </r>
  <r>
    <n v="190000"/>
    <n v="4"/>
    <n v="2.5"/>
    <n v="2000"/>
    <x v="61"/>
    <x v="4"/>
  </r>
  <r>
    <n v="194900"/>
    <n v="3"/>
    <n v="2.5"/>
    <n v="1860"/>
    <x v="44"/>
    <x v="2"/>
  </r>
  <r>
    <n v="194900"/>
    <n v="3"/>
    <n v="2.5"/>
    <n v="2088"/>
    <x v="61"/>
    <x v="4"/>
  </r>
  <r>
    <n v="194900"/>
    <n v="2"/>
    <n v="2"/>
    <n v="1045"/>
    <x v="70"/>
    <x v="0"/>
  </r>
  <r>
    <n v="195000"/>
    <n v="3"/>
    <n v="2"/>
    <n v="1467"/>
    <x v="4"/>
    <x v="10"/>
  </r>
  <r>
    <n v="195000"/>
    <n v="3"/>
    <n v="2.5"/>
    <n v="1885"/>
    <x v="61"/>
    <x v="4"/>
  </r>
  <r>
    <n v="195000"/>
    <n v="4"/>
    <n v="2.5"/>
    <n v="2120"/>
    <x v="25"/>
    <x v="4"/>
  </r>
  <r>
    <n v="195000"/>
    <n v="3"/>
    <n v="2.5"/>
    <n v="2066"/>
    <x v="31"/>
    <x v="2"/>
  </r>
  <r>
    <n v="195000"/>
    <n v="3"/>
    <n v="2.5"/>
    <n v="2184"/>
    <x v="46"/>
    <x v="2"/>
  </r>
  <r>
    <n v="195000"/>
    <n v="4"/>
    <n v="2.5"/>
    <n v="2100"/>
    <x v="13"/>
    <x v="4"/>
  </r>
  <r>
    <n v="195000"/>
    <n v="3"/>
    <n v="2"/>
    <n v="1259"/>
    <x v="46"/>
    <x v="7"/>
  </r>
  <r>
    <n v="195840"/>
    <n v="3"/>
    <n v="2.5"/>
    <n v="2283"/>
    <x v="47"/>
    <x v="18"/>
  </r>
  <r>
    <n v="196900"/>
    <n v="4"/>
    <n v="2.5"/>
    <n v="2574"/>
    <x v="25"/>
    <x v="4"/>
  </r>
  <r>
    <n v="196999"/>
    <n v="4"/>
    <n v="2.5"/>
    <n v="2508"/>
    <x v="55"/>
    <x v="1"/>
  </r>
  <r>
    <n v="197000"/>
    <n v="3"/>
    <n v="2"/>
    <n v="1364"/>
    <x v="32"/>
    <x v="8"/>
  </r>
  <r>
    <n v="197900"/>
    <n v="3"/>
    <n v="2.5"/>
    <n v="1782"/>
    <x v="13"/>
    <x v="11"/>
  </r>
  <r>
    <n v="199000"/>
    <n v="3"/>
    <n v="2.5"/>
    <n v="1525"/>
    <x v="25"/>
    <x v="7"/>
  </r>
  <r>
    <n v="199000"/>
    <n v="4"/>
    <n v="2.5"/>
    <n v="2642"/>
    <x v="43"/>
    <x v="1"/>
  </r>
  <r>
    <n v="199400"/>
    <n v="4"/>
    <n v="2.5"/>
    <n v="2551"/>
    <x v="43"/>
    <x v="4"/>
  </r>
  <r>
    <n v="199835"/>
    <n v="3"/>
    <n v="2.5"/>
    <n v="1707"/>
    <x v="47"/>
    <x v="2"/>
  </r>
  <r>
    <n v="199900"/>
    <n v="3"/>
    <n v="2.5"/>
    <n v="1725"/>
    <x v="23"/>
    <x v="11"/>
  </r>
  <r>
    <n v="199900"/>
    <n v="3"/>
    <n v="2.5"/>
    <n v="2000"/>
    <x v="13"/>
    <x v="2"/>
  </r>
  <r>
    <n v="199900"/>
    <n v="4"/>
    <n v="2.5"/>
    <n v="2178"/>
    <x v="25"/>
    <x v="4"/>
  </r>
  <r>
    <n v="199900"/>
    <n v="4"/>
    <n v="2.5"/>
    <n v="2202"/>
    <x v="47"/>
    <x v="1"/>
  </r>
  <r>
    <n v="199900"/>
    <n v="3"/>
    <n v="2.5"/>
    <n v="1930"/>
    <x v="33"/>
    <x v="7"/>
  </r>
  <r>
    <n v="199900"/>
    <n v="3"/>
    <n v="2.5"/>
    <n v="1771"/>
    <x v="61"/>
    <x v="7"/>
  </r>
  <r>
    <n v="199900"/>
    <n v="3"/>
    <n v="2.5"/>
    <n v="2357"/>
    <x v="47"/>
    <x v="2"/>
  </r>
  <r>
    <n v="199900"/>
    <n v="3"/>
    <n v="1"/>
    <n v="1386"/>
    <x v="30"/>
    <x v="4"/>
  </r>
  <r>
    <n v="199900"/>
    <n v="3"/>
    <n v="2"/>
    <n v="1202"/>
    <x v="70"/>
    <x v="0"/>
  </r>
  <r>
    <n v="199990"/>
    <n v="4"/>
    <n v="2.5"/>
    <n v="1900"/>
    <x v="34"/>
    <x v="2"/>
  </r>
  <r>
    <n v="199999"/>
    <n v="3"/>
    <n v="2.5"/>
    <n v="1884"/>
    <x v="23"/>
    <x v="2"/>
  </r>
  <r>
    <n v="200000"/>
    <n v="3"/>
    <n v="2.5"/>
    <n v="1764"/>
    <x v="61"/>
    <x v="11"/>
  </r>
  <r>
    <n v="200000"/>
    <n v="3"/>
    <n v="2.5"/>
    <n v="1773"/>
    <x v="24"/>
    <x v="7"/>
  </r>
  <r>
    <n v="200000"/>
    <n v="3"/>
    <n v="2.5"/>
    <n v="1904"/>
    <x v="59"/>
    <x v="4"/>
  </r>
  <r>
    <n v="202710"/>
    <n v="3"/>
    <n v="2.5"/>
    <n v="1795"/>
    <x v="47"/>
    <x v="5"/>
  </r>
  <r>
    <n v="204825"/>
    <n v="3"/>
    <n v="2.5"/>
    <n v="1775"/>
    <x v="47"/>
    <x v="18"/>
  </r>
  <r>
    <n v="206000"/>
    <n v="3"/>
    <n v="2.5"/>
    <n v="2224"/>
    <x v="47"/>
    <x v="2"/>
  </r>
  <r>
    <n v="207300"/>
    <n v="3"/>
    <n v="1.5"/>
    <n v="1405"/>
    <x v="12"/>
    <x v="4"/>
  </r>
  <r>
    <n v="208000"/>
    <n v="3"/>
    <n v="2.5"/>
    <n v="1500"/>
    <x v="34"/>
    <x v="1"/>
  </r>
  <r>
    <n v="208305"/>
    <n v="4"/>
    <n v="2.5"/>
    <n v="2422"/>
    <x v="34"/>
    <x v="2"/>
  </r>
  <r>
    <n v="208620"/>
    <n v="4"/>
    <n v="2.5"/>
    <n v="2422"/>
    <x v="34"/>
    <x v="2"/>
  </r>
  <r>
    <n v="209000"/>
    <n v="3"/>
    <n v="2"/>
    <n v="1464"/>
    <x v="2"/>
    <x v="2"/>
  </r>
  <r>
    <n v="209850"/>
    <n v="4"/>
    <n v="2.5"/>
    <n v="2078"/>
    <x v="65"/>
    <x v="2"/>
  </r>
  <r>
    <n v="209900"/>
    <n v="2"/>
    <n v="1"/>
    <n v="972"/>
    <x v="0"/>
    <x v="4"/>
  </r>
  <r>
    <n v="210000"/>
    <n v="3"/>
    <n v="2.5"/>
    <n v="2185"/>
    <x v="6"/>
    <x v="4"/>
  </r>
  <r>
    <n v="212000"/>
    <n v="3"/>
    <n v="3"/>
    <n v="2900"/>
    <x v="59"/>
    <x v="4"/>
  </r>
  <r>
    <n v="212500"/>
    <n v="3"/>
    <n v="2.5"/>
    <n v="1677"/>
    <x v="28"/>
    <x v="11"/>
  </r>
  <r>
    <n v="212500"/>
    <n v="4"/>
    <n v="3"/>
    <n v="2042"/>
    <x v="49"/>
    <x v="11"/>
  </r>
  <r>
    <n v="213000"/>
    <n v="4"/>
    <n v="3"/>
    <n v="2362"/>
    <x v="27"/>
    <x v="2"/>
  </r>
  <r>
    <n v="214000"/>
    <n v="3"/>
    <n v="2.5"/>
    <n v="2108"/>
    <x v="46"/>
    <x v="2"/>
  </r>
  <r>
    <n v="214805"/>
    <n v="3"/>
    <n v="2"/>
    <n v="2076"/>
    <x v="47"/>
    <x v="5"/>
  </r>
  <r>
    <n v="214900"/>
    <n v="4"/>
    <n v="2.5"/>
    <n v="2351"/>
    <x v="32"/>
    <x v="19"/>
  </r>
  <r>
    <n v="214900"/>
    <n v="3"/>
    <n v="2.5"/>
    <n v="1636"/>
    <x v="24"/>
    <x v="7"/>
  </r>
  <r>
    <n v="214900"/>
    <n v="3"/>
    <n v="2.5"/>
    <n v="1978"/>
    <x v="22"/>
    <x v="7"/>
  </r>
  <r>
    <n v="214975"/>
    <n v="3"/>
    <n v="2.5"/>
    <n v="1602"/>
    <x v="39"/>
    <x v="11"/>
  </r>
  <r>
    <n v="214990"/>
    <n v="4"/>
    <n v="2.5"/>
    <n v="2535"/>
    <x v="34"/>
    <x v="2"/>
  </r>
  <r>
    <n v="215000"/>
    <n v="3"/>
    <n v="2.5"/>
    <n v="1966"/>
    <x v="51"/>
    <x v="11"/>
  </r>
  <r>
    <n v="215000"/>
    <n v="4"/>
    <n v="2.5"/>
    <n v="2071"/>
    <x v="46"/>
    <x v="7"/>
  </r>
  <r>
    <n v="215000"/>
    <n v="4"/>
    <n v="3"/>
    <n v="2250"/>
    <x v="8"/>
    <x v="2"/>
  </r>
  <r>
    <n v="215000"/>
    <n v="3"/>
    <n v="2.5"/>
    <n v="1600"/>
    <x v="34"/>
    <x v="1"/>
  </r>
  <r>
    <n v="217500"/>
    <n v="4"/>
    <n v="2.5"/>
    <n v="2381"/>
    <x v="59"/>
    <x v="2"/>
  </r>
  <r>
    <n v="219000"/>
    <n v="3"/>
    <n v="2.5"/>
    <n v="2927"/>
    <x v="44"/>
    <x v="1"/>
  </r>
  <r>
    <n v="219900"/>
    <n v="3"/>
    <n v="2.5"/>
    <n v="1858"/>
    <x v="25"/>
    <x v="11"/>
  </r>
  <r>
    <n v="219900"/>
    <n v="3"/>
    <n v="2.5"/>
    <n v="1637"/>
    <x v="54"/>
    <x v="11"/>
  </r>
  <r>
    <n v="219900"/>
    <n v="3"/>
    <n v="2.5"/>
    <n v="2646"/>
    <x v="61"/>
    <x v="2"/>
  </r>
  <r>
    <n v="219900"/>
    <n v="3"/>
    <n v="2.5"/>
    <n v="2343"/>
    <x v="34"/>
    <x v="2"/>
  </r>
  <r>
    <n v="219900"/>
    <n v="4"/>
    <n v="2.5"/>
    <n v="1998"/>
    <x v="44"/>
    <x v="2"/>
  </r>
  <r>
    <n v="219900"/>
    <n v="4"/>
    <n v="2.5"/>
    <n v="2206"/>
    <x v="23"/>
    <x v="4"/>
  </r>
  <r>
    <n v="219900"/>
    <n v="3"/>
    <n v="2.5"/>
    <n v="1705"/>
    <x v="24"/>
    <x v="7"/>
  </r>
  <r>
    <n v="219900"/>
    <n v="3"/>
    <n v="2.5"/>
    <n v="1945"/>
    <x v="23"/>
    <x v="7"/>
  </r>
  <r>
    <n v="219900"/>
    <n v="3"/>
    <n v="2.5"/>
    <n v="1881"/>
    <x v="71"/>
    <x v="2"/>
  </r>
  <r>
    <n v="219900"/>
    <n v="3"/>
    <n v="2.5"/>
    <n v="2002"/>
    <x v="25"/>
    <x v="4"/>
  </r>
  <r>
    <n v="219900"/>
    <n v="3"/>
    <n v="1.5"/>
    <n v="975"/>
    <x v="60"/>
    <x v="4"/>
  </r>
  <r>
    <n v="219990"/>
    <n v="4"/>
    <n v="2.5"/>
    <n v="2147"/>
    <x v="47"/>
    <x v="2"/>
  </r>
  <r>
    <n v="219997"/>
    <n v="2"/>
    <n v="1"/>
    <n v="738"/>
    <x v="70"/>
    <x v="12"/>
  </r>
  <r>
    <n v="220000"/>
    <n v="4"/>
    <n v="2.5"/>
    <n v="2108"/>
    <x v="50"/>
    <x v="8"/>
  </r>
  <r>
    <n v="220000"/>
    <n v="4"/>
    <n v="2"/>
    <n v="1602"/>
    <x v="0"/>
    <x v="12"/>
  </r>
  <r>
    <n v="220000"/>
    <n v="4"/>
    <n v="3"/>
    <n v="3055"/>
    <x v="32"/>
    <x v="4"/>
  </r>
  <r>
    <n v="220000"/>
    <n v="4"/>
    <n v="2.5"/>
    <n v="2672"/>
    <x v="54"/>
    <x v="4"/>
  </r>
  <r>
    <n v="221700"/>
    <n v="3"/>
    <n v="2.5"/>
    <n v="2575"/>
    <x v="34"/>
    <x v="2"/>
  </r>
  <r>
    <n v="222990"/>
    <n v="3"/>
    <n v="2.5"/>
    <n v="2434"/>
    <x v="34"/>
    <x v="2"/>
  </r>
  <r>
    <n v="224000"/>
    <n v="3"/>
    <n v="2.5"/>
    <n v="2583"/>
    <x v="51"/>
    <x v="2"/>
  </r>
  <r>
    <n v="224900"/>
    <n v="3"/>
    <n v="2.5"/>
    <n v="1643"/>
    <x v="54"/>
    <x v="11"/>
  </r>
  <r>
    <n v="224900"/>
    <n v="3"/>
    <n v="2.5"/>
    <n v="2342"/>
    <x v="31"/>
    <x v="2"/>
  </r>
  <r>
    <n v="224900"/>
    <n v="4"/>
    <n v="2.5"/>
    <n v="1796"/>
    <x v="23"/>
    <x v="7"/>
  </r>
  <r>
    <n v="225000"/>
    <n v="3"/>
    <n v="2.5"/>
    <n v="1781"/>
    <x v="2"/>
    <x v="11"/>
  </r>
  <r>
    <n v="225000"/>
    <n v="3"/>
    <n v="1.5"/>
    <n v="1600"/>
    <x v="16"/>
    <x v="10"/>
  </r>
  <r>
    <n v="225000"/>
    <n v="4"/>
    <n v="2.5"/>
    <n v="2909"/>
    <x v="48"/>
    <x v="2"/>
  </r>
  <r>
    <n v="225000"/>
    <n v="4"/>
    <n v="3"/>
    <n v="2000"/>
    <x v="19"/>
    <x v="7"/>
  </r>
  <r>
    <n v="225000"/>
    <n v="4"/>
    <n v="2.5"/>
    <n v="3100"/>
    <x v="55"/>
    <x v="2"/>
  </r>
  <r>
    <n v="225000"/>
    <n v="3"/>
    <n v="2"/>
    <n v="1541"/>
    <x v="49"/>
    <x v="8"/>
  </r>
  <r>
    <n v="225000"/>
    <n v="4"/>
    <n v="2.5"/>
    <n v="2320"/>
    <x v="25"/>
    <x v="4"/>
  </r>
  <r>
    <n v="225000"/>
    <n v="3"/>
    <n v="2"/>
    <n v="1932"/>
    <x v="66"/>
    <x v="6"/>
  </r>
  <r>
    <n v="225900"/>
    <n v="4"/>
    <n v="2.5"/>
    <n v="2805"/>
    <x v="43"/>
    <x v="2"/>
  </r>
  <r>
    <n v="226630"/>
    <n v="4"/>
    <n v="3"/>
    <n v="2357"/>
    <x v="47"/>
    <x v="18"/>
  </r>
  <r>
    <n v="227500"/>
    <n v="4"/>
    <n v="2.5"/>
    <n v="2325"/>
    <x v="59"/>
    <x v="19"/>
  </r>
  <r>
    <n v="228500"/>
    <n v="5"/>
    <n v="3"/>
    <n v="3080"/>
    <x v="44"/>
    <x v="1"/>
  </r>
  <r>
    <n v="229240"/>
    <n v="4"/>
    <n v="2.5"/>
    <n v="2630"/>
    <x v="47"/>
    <x v="18"/>
  </r>
  <r>
    <n v="229500"/>
    <n v="3"/>
    <n v="2.5"/>
    <n v="1675"/>
    <x v="22"/>
    <x v="7"/>
  </r>
  <r>
    <n v="229625"/>
    <n v="4"/>
    <n v="3"/>
    <n v="2836"/>
    <x v="34"/>
    <x v="2"/>
  </r>
  <r>
    <n v="229900"/>
    <n v="3"/>
    <n v="2.5"/>
    <n v="1730"/>
    <x v="23"/>
    <x v="13"/>
  </r>
  <r>
    <n v="229900"/>
    <n v="3"/>
    <n v="2.5"/>
    <n v="1648"/>
    <x v="66"/>
    <x v="6"/>
  </r>
  <r>
    <n v="229900"/>
    <n v="3"/>
    <n v="2.5"/>
    <n v="2233"/>
    <x v="19"/>
    <x v="7"/>
  </r>
  <r>
    <n v="229900"/>
    <n v="4"/>
    <n v="2.5"/>
    <n v="3440"/>
    <x v="43"/>
    <x v="1"/>
  </r>
  <r>
    <n v="229900"/>
    <n v="4"/>
    <n v="2.5"/>
    <n v="2245"/>
    <x v="23"/>
    <x v="4"/>
  </r>
  <r>
    <n v="230000"/>
    <n v="1"/>
    <n v="1"/>
    <n v="650"/>
    <x v="5"/>
    <x v="12"/>
  </r>
  <r>
    <n v="230000"/>
    <n v="5"/>
    <n v="3"/>
    <n v="2600"/>
    <x v="34"/>
    <x v="2"/>
  </r>
  <r>
    <n v="231900"/>
    <n v="4"/>
    <n v="2.5"/>
    <n v="1819"/>
    <x v="44"/>
    <x v="16"/>
  </r>
  <r>
    <n v="232000"/>
    <n v="4"/>
    <n v="2.5"/>
    <n v="2433"/>
    <x v="61"/>
    <x v="4"/>
  </r>
  <r>
    <n v="233000"/>
    <n v="4"/>
    <n v="3"/>
    <n v="2831"/>
    <x v="37"/>
    <x v="7"/>
  </r>
  <r>
    <n v="234580"/>
    <n v="4"/>
    <n v="3"/>
    <n v="2143"/>
    <x v="47"/>
    <x v="18"/>
  </r>
  <r>
    <n v="234777"/>
    <n v="3"/>
    <n v="3.5"/>
    <n v="2895"/>
    <x v="43"/>
    <x v="2"/>
  </r>
  <r>
    <n v="234900"/>
    <n v="4"/>
    <n v="2.5"/>
    <n v="1900"/>
    <x v="13"/>
    <x v="13"/>
  </r>
  <r>
    <n v="235000"/>
    <n v="3"/>
    <n v="2"/>
    <n v="1502"/>
    <x v="49"/>
    <x v="11"/>
  </r>
  <r>
    <n v="235000"/>
    <n v="3"/>
    <n v="2"/>
    <n v="1821"/>
    <x v="0"/>
    <x v="12"/>
  </r>
  <r>
    <n v="237000"/>
    <n v="4"/>
    <n v="2.5"/>
    <n v="2600"/>
    <x v="55"/>
    <x v="2"/>
  </r>
  <r>
    <n v="237999"/>
    <n v="5"/>
    <n v="2.5"/>
    <n v="2854"/>
    <x v="22"/>
    <x v="2"/>
  </r>
  <r>
    <n v="239000"/>
    <n v="4"/>
    <n v="2.5"/>
    <n v="2684"/>
    <x v="44"/>
    <x v="2"/>
  </r>
  <r>
    <n v="239900"/>
    <n v="3"/>
    <n v="2"/>
    <n v="1240"/>
    <x v="11"/>
    <x v="9"/>
  </r>
  <r>
    <n v="239900"/>
    <n v="4"/>
    <n v="3"/>
    <n v="2610"/>
    <x v="31"/>
    <x v="3"/>
  </r>
  <r>
    <n v="239900"/>
    <n v="3"/>
    <n v="2.5"/>
    <n v="1887"/>
    <x v="55"/>
    <x v="16"/>
  </r>
  <r>
    <n v="239900"/>
    <n v="4"/>
    <n v="2"/>
    <n v="2156"/>
    <x v="18"/>
    <x v="6"/>
  </r>
  <r>
    <n v="239900"/>
    <n v="4"/>
    <n v="2.5"/>
    <n v="2300"/>
    <x v="32"/>
    <x v="16"/>
  </r>
  <r>
    <n v="240000"/>
    <n v="4"/>
    <n v="3"/>
    <n v="2012"/>
    <x v="35"/>
    <x v="6"/>
  </r>
  <r>
    <n v="240000"/>
    <n v="3"/>
    <n v="2.5"/>
    <n v="2545"/>
    <x v="32"/>
    <x v="2"/>
  </r>
  <r>
    <n v="240000"/>
    <n v="4"/>
    <n v="2.5"/>
    <n v="2623"/>
    <x v="71"/>
    <x v="2"/>
  </r>
  <r>
    <n v="242500"/>
    <n v="3"/>
    <n v="2.5"/>
    <n v="1870"/>
    <x v="20"/>
    <x v="8"/>
  </r>
  <r>
    <n v="244900"/>
    <n v="4"/>
    <n v="2.5"/>
    <n v="2651"/>
    <x v="13"/>
    <x v="2"/>
  </r>
  <r>
    <n v="244990"/>
    <n v="5"/>
    <n v="3.5"/>
    <n v="2761"/>
    <x v="47"/>
    <x v="2"/>
  </r>
  <r>
    <n v="245000"/>
    <n v="4"/>
    <n v="3.5"/>
    <n v="2126"/>
    <x v="4"/>
    <x v="10"/>
  </r>
  <r>
    <n v="245000"/>
    <n v="5"/>
    <n v="3"/>
    <n v="3389"/>
    <x v="55"/>
    <x v="1"/>
  </r>
  <r>
    <n v="245000"/>
    <n v="4"/>
    <n v="3"/>
    <n v="2464"/>
    <x v="24"/>
    <x v="7"/>
  </r>
  <r>
    <n v="247155"/>
    <n v="5"/>
    <n v="3"/>
    <n v="3044"/>
    <x v="47"/>
    <x v="18"/>
  </r>
  <r>
    <n v="248900"/>
    <n v="4"/>
    <n v="3.5"/>
    <n v="2035"/>
    <x v="55"/>
    <x v="16"/>
  </r>
  <r>
    <n v="249900"/>
    <n v="3"/>
    <n v="2.5"/>
    <n v="1703"/>
    <x v="21"/>
    <x v="11"/>
  </r>
  <r>
    <n v="249900"/>
    <n v="3"/>
    <n v="2"/>
    <n v="1442"/>
    <x v="72"/>
    <x v="9"/>
  </r>
  <r>
    <n v="249900"/>
    <n v="3"/>
    <n v="2.5"/>
    <n v="2894"/>
    <x v="55"/>
    <x v="2"/>
  </r>
  <r>
    <n v="249900"/>
    <n v="4"/>
    <n v="2.5"/>
    <n v="2580"/>
    <x v="46"/>
    <x v="11"/>
  </r>
  <r>
    <n v="249990"/>
    <n v="3"/>
    <n v="2.5"/>
    <n v="2544"/>
    <x v="34"/>
    <x v="2"/>
  </r>
  <r>
    <n v="250000"/>
    <n v="3"/>
    <n v="2"/>
    <n v="1733"/>
    <x v="2"/>
    <x v="8"/>
  </r>
  <r>
    <n v="250000"/>
    <n v="4"/>
    <n v="2.5"/>
    <n v="2623"/>
    <x v="52"/>
    <x v="2"/>
  </r>
  <r>
    <n v="250000"/>
    <n v="4"/>
    <n v="2.5"/>
    <n v="3652"/>
    <x v="32"/>
    <x v="16"/>
  </r>
  <r>
    <n v="250751"/>
    <n v="4"/>
    <n v="4.5"/>
    <n v="2775"/>
    <x v="47"/>
    <x v="2"/>
  </r>
  <r>
    <n v="254000"/>
    <n v="5"/>
    <n v="3.5"/>
    <n v="3308"/>
    <x v="31"/>
    <x v="4"/>
  </r>
  <r>
    <n v="254450"/>
    <n v="5"/>
    <n v="3"/>
    <n v="3099"/>
    <x v="23"/>
    <x v="4"/>
  </r>
  <r>
    <n v="258000"/>
    <n v="2"/>
    <n v="1"/>
    <n v="932"/>
    <x v="73"/>
    <x v="9"/>
  </r>
  <r>
    <n v="258900"/>
    <n v="4"/>
    <n v="2.5"/>
    <n v="2250"/>
    <x v="47"/>
    <x v="2"/>
  </r>
  <r>
    <n v="259000"/>
    <n v="2"/>
    <n v="1.5"/>
    <n v="1085"/>
    <x v="11"/>
    <x v="9"/>
  </r>
  <r>
    <n v="259900"/>
    <n v="3"/>
    <n v="2"/>
    <n v="2100"/>
    <x v="61"/>
    <x v="1"/>
  </r>
  <r>
    <n v="259900"/>
    <n v="4"/>
    <n v="2.5"/>
    <n v="3000"/>
    <x v="55"/>
    <x v="2"/>
  </r>
  <r>
    <n v="260000"/>
    <n v="4"/>
    <n v="3.5"/>
    <n v="3804"/>
    <x v="43"/>
    <x v="1"/>
  </r>
  <r>
    <n v="260000"/>
    <n v="5"/>
    <n v="3.5"/>
    <n v="3236"/>
    <x v="38"/>
    <x v="4"/>
  </r>
  <r>
    <n v="264000"/>
    <n v="3"/>
    <n v="2.5"/>
    <n v="2290"/>
    <x v="20"/>
    <x v="11"/>
  </r>
  <r>
    <n v="264854"/>
    <n v="3"/>
    <n v="2.5"/>
    <n v="2296"/>
    <x v="47"/>
    <x v="3"/>
  </r>
  <r>
    <n v="264882"/>
    <n v="4"/>
    <n v="3"/>
    <n v="2288"/>
    <x v="34"/>
    <x v="3"/>
  </r>
  <r>
    <n v="264900"/>
    <n v="3"/>
    <n v="2.5"/>
    <n v="1943"/>
    <x v="26"/>
    <x v="11"/>
  </r>
  <r>
    <n v="264900"/>
    <n v="3"/>
    <n v="1"/>
    <n v="1131"/>
    <x v="60"/>
    <x v="9"/>
  </r>
  <r>
    <n v="265000"/>
    <n v="3"/>
    <n v="2.5"/>
    <n v="2154"/>
    <x v="30"/>
    <x v="8"/>
  </r>
  <r>
    <n v="265000"/>
    <n v="5"/>
    <n v="3.5"/>
    <n v="3011"/>
    <x v="43"/>
    <x v="2"/>
  </r>
  <r>
    <n v="267000"/>
    <n v="3"/>
    <n v="2.5"/>
    <n v="1970"/>
    <x v="45"/>
    <x v="12"/>
  </r>
  <r>
    <n v="267115"/>
    <n v="3"/>
    <n v="2"/>
    <n v="1844"/>
    <x v="34"/>
    <x v="2"/>
  </r>
  <r>
    <n v="269000"/>
    <n v="2"/>
    <n v="2"/>
    <n v="1011"/>
    <x v="29"/>
    <x v="9"/>
  </r>
  <r>
    <n v="269900"/>
    <n v="3"/>
    <n v="2.5"/>
    <n v="1543"/>
    <x v="26"/>
    <x v="10"/>
  </r>
  <r>
    <n v="269900"/>
    <n v="4"/>
    <n v="2.5"/>
    <n v="2668"/>
    <x v="32"/>
    <x v="1"/>
  </r>
  <r>
    <n v="269900"/>
    <n v="4"/>
    <n v="2"/>
    <n v="2121"/>
    <x v="37"/>
    <x v="7"/>
  </r>
  <r>
    <n v="269900"/>
    <n v="4"/>
    <n v="3"/>
    <n v="2083"/>
    <x v="46"/>
    <x v="7"/>
  </r>
  <r>
    <n v="269900"/>
    <n v="4"/>
    <n v="2.5"/>
    <n v="2779"/>
    <x v="43"/>
    <x v="2"/>
  </r>
  <r>
    <n v="270000"/>
    <n v="3"/>
    <n v="2"/>
    <n v="2475"/>
    <x v="12"/>
    <x v="7"/>
  </r>
  <r>
    <n v="272990"/>
    <n v="4"/>
    <n v="2.5"/>
    <n v="2411"/>
    <x v="47"/>
    <x v="2"/>
  </r>
  <r>
    <n v="273900"/>
    <n v="2"/>
    <n v="1"/>
    <n v="1250"/>
    <x v="64"/>
    <x v="3"/>
  </r>
  <r>
    <n v="274900"/>
    <n v="4"/>
    <n v="2.5"/>
    <n v="2522"/>
    <x v="22"/>
    <x v="7"/>
  </r>
  <r>
    <n v="274900"/>
    <n v="3"/>
    <n v="2.5"/>
    <n v="1840"/>
    <x v="66"/>
    <x v="7"/>
  </r>
  <r>
    <n v="274900"/>
    <n v="4"/>
    <n v="3.5"/>
    <n v="2860"/>
    <x v="52"/>
    <x v="2"/>
  </r>
  <r>
    <n v="274900"/>
    <n v="3"/>
    <n v="2.5"/>
    <n v="2475"/>
    <x v="34"/>
    <x v="3"/>
  </r>
  <r>
    <n v="275000"/>
    <n v="4"/>
    <n v="2.5"/>
    <n v="2630"/>
    <x v="32"/>
    <x v="11"/>
  </r>
  <r>
    <n v="275000"/>
    <n v="4"/>
    <n v="2.5"/>
    <n v="3234"/>
    <x v="31"/>
    <x v="2"/>
  </r>
  <r>
    <n v="275000"/>
    <n v="4"/>
    <n v="2.5"/>
    <n v="2953"/>
    <x v="55"/>
    <x v="16"/>
  </r>
  <r>
    <n v="275000"/>
    <n v="3"/>
    <n v="2.5"/>
    <n v="2389"/>
    <x v="46"/>
    <x v="2"/>
  </r>
  <r>
    <n v="275000"/>
    <n v="4"/>
    <n v="2.5"/>
    <n v="2579"/>
    <x v="44"/>
    <x v="16"/>
  </r>
  <r>
    <n v="275000"/>
    <n v="5"/>
    <n v="4"/>
    <n v="3278"/>
    <x v="8"/>
    <x v="6"/>
  </r>
  <r>
    <n v="279000"/>
    <n v="5"/>
    <n v="3.5"/>
    <n v="3546"/>
    <x v="35"/>
    <x v="11"/>
  </r>
  <r>
    <n v="279000"/>
    <n v="4"/>
    <n v="4"/>
    <n v="2918"/>
    <x v="48"/>
    <x v="18"/>
  </r>
  <r>
    <n v="279900"/>
    <n v="4"/>
    <n v="2"/>
    <n v="2197"/>
    <x v="15"/>
    <x v="11"/>
  </r>
  <r>
    <n v="279900"/>
    <n v="4"/>
    <n v="2.5"/>
    <n v="3546"/>
    <x v="28"/>
    <x v="4"/>
  </r>
  <r>
    <n v="279900"/>
    <n v="3"/>
    <n v="2"/>
    <n v="1885"/>
    <x v="24"/>
    <x v="6"/>
  </r>
  <r>
    <n v="279900"/>
    <n v="5"/>
    <n v="4"/>
    <n v="3072"/>
    <x v="62"/>
    <x v="2"/>
  </r>
  <r>
    <n v="279900"/>
    <n v="4"/>
    <n v="3"/>
    <n v="2324"/>
    <x v="6"/>
    <x v="6"/>
  </r>
  <r>
    <n v="280850"/>
    <n v="5"/>
    <n v="4.5"/>
    <n v="3045"/>
    <x v="34"/>
    <x v="14"/>
  </r>
  <r>
    <n v="280990"/>
    <n v="4"/>
    <n v="4.5"/>
    <n v="2775"/>
    <x v="34"/>
    <x v="2"/>
  </r>
  <r>
    <n v="282890"/>
    <n v="4"/>
    <n v="3"/>
    <n v="2757"/>
    <x v="47"/>
    <x v="2"/>
  </r>
  <r>
    <n v="283000"/>
    <n v="3"/>
    <n v="1"/>
    <n v="1673"/>
    <x v="74"/>
    <x v="4"/>
  </r>
  <r>
    <n v="284900"/>
    <n v="3"/>
    <n v="2.5"/>
    <n v="2425"/>
    <x v="46"/>
    <x v="11"/>
  </r>
  <r>
    <n v="286990"/>
    <n v="4"/>
    <n v="3"/>
    <n v="2531"/>
    <x v="34"/>
    <x v="20"/>
  </r>
  <r>
    <n v="287890"/>
    <n v="3"/>
    <n v="2.5"/>
    <n v="2411"/>
    <x v="47"/>
    <x v="2"/>
  </r>
  <r>
    <n v="289000"/>
    <n v="3"/>
    <n v="2.5"/>
    <n v="1875"/>
    <x v="38"/>
    <x v="7"/>
  </r>
  <r>
    <n v="289900"/>
    <n v="4"/>
    <n v="2.5"/>
    <n v="2460"/>
    <x v="26"/>
    <x v="11"/>
  </r>
  <r>
    <n v="289900"/>
    <n v="3"/>
    <n v="2.5"/>
    <n v="3342"/>
    <x v="28"/>
    <x v="7"/>
  </r>
  <r>
    <n v="289900"/>
    <n v="4"/>
    <n v="2.5"/>
    <n v="3013"/>
    <x v="27"/>
    <x v="2"/>
  </r>
  <r>
    <n v="290000"/>
    <n v="4"/>
    <n v="2.5"/>
    <n v="2519"/>
    <x v="44"/>
    <x v="11"/>
  </r>
  <r>
    <n v="291477"/>
    <n v="5"/>
    <n v="4"/>
    <n v="2780"/>
    <x v="34"/>
    <x v="2"/>
  </r>
  <r>
    <n v="293120"/>
    <n v="4"/>
    <n v="3"/>
    <n v="3044"/>
    <x v="34"/>
    <x v="20"/>
  </r>
  <r>
    <n v="294410"/>
    <n v="5"/>
    <n v="3.5"/>
    <n v="3090"/>
    <x v="47"/>
    <x v="21"/>
  </r>
  <r>
    <n v="295000"/>
    <n v="4"/>
    <n v="2.5"/>
    <n v="2543"/>
    <x v="32"/>
    <x v="11"/>
  </r>
  <r>
    <n v="295000"/>
    <n v="3"/>
    <n v="3"/>
    <n v="2425"/>
    <x v="55"/>
    <x v="16"/>
  </r>
  <r>
    <n v="297890"/>
    <n v="4"/>
    <n v="3.5"/>
    <n v="3035"/>
    <x v="47"/>
    <x v="2"/>
  </r>
  <r>
    <n v="298900"/>
    <n v="3"/>
    <n v="3"/>
    <n v="3424"/>
    <x v="6"/>
    <x v="10"/>
  </r>
  <r>
    <n v="299000"/>
    <n v="3"/>
    <n v="4"/>
    <n v="2840"/>
    <x v="33"/>
    <x v="11"/>
  </r>
  <r>
    <n v="299000"/>
    <n v="4"/>
    <n v="2.5"/>
    <n v="2170"/>
    <x v="7"/>
    <x v="8"/>
  </r>
  <r>
    <n v="299000"/>
    <n v="4"/>
    <n v="2.5"/>
    <n v="2604"/>
    <x v="15"/>
    <x v="7"/>
  </r>
  <r>
    <n v="299900"/>
    <n v="3"/>
    <n v="2.5"/>
    <n v="2460"/>
    <x v="46"/>
    <x v="11"/>
  </r>
  <r>
    <n v="299900"/>
    <n v="4"/>
    <n v="3"/>
    <n v="2280"/>
    <x v="50"/>
    <x v="8"/>
  </r>
  <r>
    <n v="299900"/>
    <n v="3"/>
    <n v="2.5"/>
    <n v="1900"/>
    <x v="17"/>
    <x v="7"/>
  </r>
  <r>
    <n v="299900"/>
    <n v="4"/>
    <n v="3"/>
    <n v="2265"/>
    <x v="69"/>
    <x v="8"/>
  </r>
  <r>
    <n v="299900"/>
    <n v="5"/>
    <n v="4"/>
    <n v="3256"/>
    <x v="31"/>
    <x v="2"/>
  </r>
  <r>
    <n v="299900"/>
    <n v="4"/>
    <n v="2.5"/>
    <n v="2390"/>
    <x v="28"/>
    <x v="7"/>
  </r>
  <r>
    <n v="299900"/>
    <n v="4"/>
    <n v="3"/>
    <n v="2744"/>
    <x v="53"/>
    <x v="6"/>
  </r>
  <r>
    <n v="299900"/>
    <n v="4"/>
    <n v="2.5"/>
    <n v="2500"/>
    <x v="23"/>
    <x v="16"/>
  </r>
  <r>
    <n v="300000"/>
    <n v="3"/>
    <n v="1.5"/>
    <n v="1412"/>
    <x v="36"/>
    <x v="12"/>
  </r>
  <r>
    <n v="300000"/>
    <n v="5"/>
    <n v="3.5"/>
    <n v="3844"/>
    <x v="52"/>
    <x v="2"/>
  </r>
  <r>
    <n v="300000"/>
    <n v="3"/>
    <n v="2"/>
    <n v="1625"/>
    <x v="4"/>
    <x v="1"/>
  </r>
  <r>
    <n v="300000"/>
    <n v="5"/>
    <n v="4"/>
    <n v="3159"/>
    <x v="48"/>
    <x v="2"/>
  </r>
  <r>
    <n v="304900"/>
    <n v="3"/>
    <n v="2.5"/>
    <n v="2120"/>
    <x v="61"/>
    <x v="16"/>
  </r>
  <r>
    <n v="305000"/>
    <n v="3"/>
    <n v="2.5"/>
    <n v="2114"/>
    <x v="7"/>
    <x v="8"/>
  </r>
  <r>
    <n v="305000"/>
    <n v="3"/>
    <n v="2"/>
    <n v="1723"/>
    <x v="29"/>
    <x v="4"/>
  </r>
  <r>
    <n v="309000"/>
    <n v="3"/>
    <n v="2.5"/>
    <n v="2124"/>
    <x v="51"/>
    <x v="7"/>
  </r>
  <r>
    <n v="309000"/>
    <n v="2"/>
    <n v="2"/>
    <n v="1349"/>
    <x v="75"/>
    <x v="4"/>
  </r>
  <r>
    <n v="309900"/>
    <n v="3"/>
    <n v="2"/>
    <n v="1857"/>
    <x v="2"/>
    <x v="11"/>
  </r>
  <r>
    <n v="309900"/>
    <n v="4"/>
    <n v="2.5"/>
    <n v="2580"/>
    <x v="59"/>
    <x v="11"/>
  </r>
  <r>
    <n v="309900"/>
    <n v="4"/>
    <n v="3"/>
    <n v="2605"/>
    <x v="62"/>
    <x v="10"/>
  </r>
  <r>
    <n v="309900"/>
    <n v="4"/>
    <n v="2.5"/>
    <n v="2100"/>
    <x v="37"/>
    <x v="7"/>
  </r>
  <r>
    <n v="310000"/>
    <n v="4"/>
    <n v="3"/>
    <n v="2524"/>
    <x v="45"/>
    <x v="8"/>
  </r>
  <r>
    <n v="312000"/>
    <n v="4"/>
    <n v="2.5"/>
    <n v="2576"/>
    <x v="55"/>
    <x v="11"/>
  </r>
  <r>
    <n v="312000"/>
    <n v="5"/>
    <n v="3"/>
    <n v="2860"/>
    <x v="57"/>
    <x v="1"/>
  </r>
  <r>
    <n v="314900"/>
    <n v="3"/>
    <n v="2.5"/>
    <n v="2238"/>
    <x v="43"/>
    <x v="16"/>
  </r>
  <r>
    <n v="316500"/>
    <n v="3"/>
    <n v="3.5"/>
    <n v="2335"/>
    <x v="13"/>
    <x v="16"/>
  </r>
  <r>
    <n v="317500"/>
    <n v="4"/>
    <n v="2.5"/>
    <n v="2813"/>
    <x v="46"/>
    <x v="16"/>
  </r>
  <r>
    <n v="318000"/>
    <n v="5"/>
    <n v="3.5"/>
    <n v="3533"/>
    <x v="44"/>
    <x v="16"/>
  </r>
  <r>
    <n v="319500"/>
    <n v="3"/>
    <n v="2.5"/>
    <n v="2202"/>
    <x v="44"/>
    <x v="16"/>
  </r>
  <r>
    <n v="319899"/>
    <n v="4"/>
    <n v="2.5"/>
    <n v="2085"/>
    <x v="37"/>
    <x v="7"/>
  </r>
  <r>
    <n v="320000"/>
    <n v="2"/>
    <n v="2"/>
    <n v="1303"/>
    <x v="3"/>
    <x v="9"/>
  </r>
  <r>
    <n v="324500"/>
    <n v="3"/>
    <n v="2"/>
    <n v="1818"/>
    <x v="72"/>
    <x v="4"/>
  </r>
  <r>
    <n v="324900"/>
    <n v="5"/>
    <n v="3.5"/>
    <n v="3176"/>
    <x v="28"/>
    <x v="7"/>
  </r>
  <r>
    <n v="324900"/>
    <n v="4"/>
    <n v="4"/>
    <n v="3568"/>
    <x v="33"/>
    <x v="7"/>
  </r>
  <r>
    <n v="325000"/>
    <n v="5"/>
    <n v="2.5"/>
    <n v="2462"/>
    <x v="30"/>
    <x v="10"/>
  </r>
  <r>
    <n v="325000"/>
    <n v="3"/>
    <n v="2.5"/>
    <n v="2215"/>
    <x v="65"/>
    <x v="10"/>
  </r>
  <r>
    <n v="325000"/>
    <n v="4"/>
    <n v="2.5"/>
    <n v="3010"/>
    <x v="44"/>
    <x v="16"/>
  </r>
  <r>
    <n v="325000"/>
    <n v="5"/>
    <n v="4"/>
    <n v="4726"/>
    <x v="55"/>
    <x v="1"/>
  </r>
  <r>
    <n v="325000"/>
    <n v="3"/>
    <n v="2.5"/>
    <n v="1832"/>
    <x v="14"/>
    <x v="6"/>
  </r>
  <r>
    <n v="325000"/>
    <n v="4"/>
    <n v="2"/>
    <n v="1869"/>
    <x v="58"/>
    <x v="6"/>
  </r>
  <r>
    <n v="325000"/>
    <n v="4"/>
    <n v="3"/>
    <n v="2885"/>
    <x v="20"/>
    <x v="7"/>
  </r>
  <r>
    <n v="328900"/>
    <n v="5"/>
    <n v="3"/>
    <n v="2854"/>
    <x v="45"/>
    <x v="7"/>
  </r>
  <r>
    <n v="329000"/>
    <n v="4"/>
    <n v="3.5"/>
    <n v="4778"/>
    <x v="2"/>
    <x v="7"/>
  </r>
  <r>
    <n v="329595"/>
    <n v="5"/>
    <n v="4"/>
    <n v="4045"/>
    <x v="59"/>
    <x v="16"/>
  </r>
  <r>
    <n v="329900"/>
    <n v="5"/>
    <n v="2"/>
    <n v="2401"/>
    <x v="4"/>
    <x v="6"/>
  </r>
  <r>
    <n v="329900"/>
    <n v="4"/>
    <n v="2.5"/>
    <n v="2781"/>
    <x v="27"/>
    <x v="16"/>
  </r>
  <r>
    <n v="330000"/>
    <n v="4"/>
    <n v="2.5"/>
    <n v="2580"/>
    <x v="45"/>
    <x v="8"/>
  </r>
  <r>
    <n v="330000"/>
    <n v="3"/>
    <n v="1.5"/>
    <n v="1656"/>
    <x v="76"/>
    <x v="22"/>
  </r>
  <r>
    <n v="330365"/>
    <n v="5"/>
    <n v="3"/>
    <n v="3045"/>
    <x v="47"/>
    <x v="1"/>
  </r>
  <r>
    <n v="332000"/>
    <n v="4"/>
    <n v="2.5"/>
    <n v="2550"/>
    <x v="21"/>
    <x v="7"/>
  </r>
  <r>
    <n v="332890"/>
    <n v="4"/>
    <n v="4"/>
    <n v="3721"/>
    <x v="34"/>
    <x v="20"/>
  </r>
  <r>
    <n v="334900"/>
    <n v="4"/>
    <n v="2.5"/>
    <n v="3165"/>
    <x v="28"/>
    <x v="7"/>
  </r>
  <r>
    <n v="335000"/>
    <n v="4"/>
    <n v="3.5"/>
    <n v="3009"/>
    <x v="6"/>
    <x v="10"/>
  </r>
  <r>
    <n v="338500"/>
    <n v="4"/>
    <n v="2.5"/>
    <n v="2802"/>
    <x v="45"/>
    <x v="7"/>
  </r>
  <r>
    <n v="339000"/>
    <n v="5"/>
    <n v="4"/>
    <n v="3504"/>
    <x v="50"/>
    <x v="8"/>
  </r>
  <r>
    <n v="339000"/>
    <n v="4"/>
    <n v="2.5"/>
    <n v="2130"/>
    <x v="30"/>
    <x v="0"/>
  </r>
  <r>
    <n v="339000"/>
    <n v="4"/>
    <n v="2.5"/>
    <n v="2810"/>
    <x v="19"/>
    <x v="7"/>
  </r>
  <r>
    <n v="339500"/>
    <n v="4"/>
    <n v="2.5"/>
    <n v="2364"/>
    <x v="32"/>
    <x v="16"/>
  </r>
  <r>
    <n v="339900"/>
    <n v="3"/>
    <n v="2.5"/>
    <n v="2662"/>
    <x v="28"/>
    <x v="11"/>
  </r>
  <r>
    <n v="339900"/>
    <n v="5"/>
    <n v="4"/>
    <n v="3275"/>
    <x v="47"/>
    <x v="3"/>
  </r>
  <r>
    <n v="344900"/>
    <n v="4"/>
    <n v="2.5"/>
    <n v="2780"/>
    <x v="66"/>
    <x v="7"/>
  </r>
  <r>
    <n v="344900"/>
    <n v="3"/>
    <n v="2.5"/>
    <n v="2310"/>
    <x v="61"/>
    <x v="7"/>
  </r>
  <r>
    <n v="344900"/>
    <n v="4"/>
    <n v="2.5"/>
    <n v="2808"/>
    <x v="19"/>
    <x v="7"/>
  </r>
  <r>
    <n v="345000"/>
    <n v="3"/>
    <n v="2.5"/>
    <n v="2225"/>
    <x v="25"/>
    <x v="11"/>
  </r>
  <r>
    <n v="345000"/>
    <n v="4"/>
    <n v="2.5"/>
    <n v="2800"/>
    <x v="27"/>
    <x v="16"/>
  </r>
  <r>
    <n v="345795"/>
    <n v="4"/>
    <n v="2.5"/>
    <n v="3129"/>
    <x v="47"/>
    <x v="21"/>
  </r>
  <r>
    <n v="348220"/>
    <n v="4"/>
    <n v="3.5"/>
    <n v="3289"/>
    <x v="34"/>
    <x v="3"/>
  </r>
  <r>
    <n v="349000"/>
    <n v="4"/>
    <n v="2"/>
    <n v="1631"/>
    <x v="0"/>
    <x v="9"/>
  </r>
  <r>
    <n v="349000"/>
    <n v="3"/>
    <n v="1"/>
    <n v="1260"/>
    <x v="64"/>
    <x v="22"/>
  </r>
  <r>
    <n v="349500"/>
    <n v="3"/>
    <n v="2.5"/>
    <n v="2181"/>
    <x v="65"/>
    <x v="12"/>
  </r>
  <r>
    <n v="349900"/>
    <n v="4"/>
    <n v="3.5"/>
    <n v="3000"/>
    <x v="32"/>
    <x v="16"/>
  </r>
  <r>
    <n v="349900"/>
    <n v="5"/>
    <n v="3.5"/>
    <n v="2789"/>
    <x v="19"/>
    <x v="7"/>
  </r>
  <r>
    <n v="349900"/>
    <n v="4"/>
    <n v="3"/>
    <n v="2880"/>
    <x v="34"/>
    <x v="3"/>
  </r>
  <r>
    <n v="349900"/>
    <n v="4"/>
    <n v="2"/>
    <n v="1624"/>
    <x v="1"/>
    <x v="9"/>
  </r>
  <r>
    <n v="349900"/>
    <n v="3"/>
    <n v="2"/>
    <n v="1349"/>
    <x v="0"/>
    <x v="9"/>
  </r>
  <r>
    <n v="350000"/>
    <n v="3"/>
    <n v="2.5"/>
    <n v="2300"/>
    <x v="51"/>
    <x v="11"/>
  </r>
  <r>
    <n v="350000"/>
    <n v="3"/>
    <n v="2.5"/>
    <n v="2122"/>
    <x v="47"/>
    <x v="12"/>
  </r>
  <r>
    <n v="350000"/>
    <n v="4"/>
    <n v="3.5"/>
    <n v="3975"/>
    <x v="52"/>
    <x v="2"/>
  </r>
  <r>
    <n v="350000"/>
    <n v="3"/>
    <n v="2"/>
    <n v="1335"/>
    <x v="1"/>
    <x v="6"/>
  </r>
  <r>
    <n v="350000"/>
    <n v="2"/>
    <n v="1"/>
    <n v="1338"/>
    <x v="77"/>
    <x v="9"/>
  </r>
  <r>
    <n v="354900"/>
    <n v="4"/>
    <n v="3.5"/>
    <n v="2112"/>
    <x v="65"/>
    <x v="12"/>
  </r>
  <r>
    <n v="355000"/>
    <n v="2"/>
    <n v="1"/>
    <n v="1263"/>
    <x v="76"/>
    <x v="12"/>
  </r>
  <r>
    <n v="355000"/>
    <n v="3"/>
    <n v="2.5"/>
    <n v="2578"/>
    <x v="46"/>
    <x v="11"/>
  </r>
  <r>
    <n v="359900"/>
    <n v="3"/>
    <n v="1"/>
    <n v="1288"/>
    <x v="11"/>
    <x v="12"/>
  </r>
  <r>
    <n v="359900"/>
    <n v="3"/>
    <n v="2.5"/>
    <n v="2343"/>
    <x v="23"/>
    <x v="8"/>
  </r>
  <r>
    <n v="360000"/>
    <n v="2"/>
    <n v="1"/>
    <n v="1681"/>
    <x v="36"/>
    <x v="12"/>
  </r>
  <r>
    <n v="365000"/>
    <n v="5"/>
    <n v="3"/>
    <n v="3150"/>
    <x v="35"/>
    <x v="8"/>
  </r>
  <r>
    <n v="365000"/>
    <n v="4"/>
    <n v="2.5"/>
    <n v="3325"/>
    <x v="25"/>
    <x v="11"/>
  </r>
  <r>
    <n v="367500"/>
    <n v="3"/>
    <n v="2.5"/>
    <n v="2333"/>
    <x v="31"/>
    <x v="8"/>
  </r>
  <r>
    <n v="369000"/>
    <n v="4"/>
    <n v="2.5"/>
    <n v="3001"/>
    <x v="24"/>
    <x v="7"/>
  </r>
  <r>
    <n v="369000"/>
    <n v="4"/>
    <n v="3.5"/>
    <n v="3086"/>
    <x v="13"/>
    <x v="16"/>
  </r>
  <r>
    <n v="369899"/>
    <n v="3"/>
    <n v="2"/>
    <n v="2293"/>
    <x v="41"/>
    <x v="8"/>
  </r>
  <r>
    <n v="369900"/>
    <n v="4"/>
    <n v="2.5"/>
    <n v="2741"/>
    <x v="59"/>
    <x v="16"/>
  </r>
  <r>
    <n v="369900"/>
    <n v="4"/>
    <n v="3"/>
    <n v="3130"/>
    <x v="52"/>
    <x v="6"/>
  </r>
  <r>
    <n v="369900"/>
    <n v="4"/>
    <n v="3"/>
    <n v="2359"/>
    <x v="35"/>
    <x v="6"/>
  </r>
  <r>
    <n v="372500"/>
    <n v="3"/>
    <n v="4.5"/>
    <n v="4152"/>
    <x v="54"/>
    <x v="15"/>
  </r>
  <r>
    <n v="373275"/>
    <n v="4"/>
    <n v="3.5"/>
    <n v="3313"/>
    <x v="34"/>
    <x v="21"/>
  </r>
  <r>
    <n v="374000"/>
    <n v="4"/>
    <n v="3"/>
    <n v="2754"/>
    <x v="46"/>
    <x v="11"/>
  </r>
  <r>
    <n v="374899"/>
    <n v="4"/>
    <n v="2.5"/>
    <n v="2761"/>
    <x v="26"/>
    <x v="11"/>
  </r>
  <r>
    <n v="375000"/>
    <n v="4"/>
    <n v="3.5"/>
    <n v="2850"/>
    <x v="34"/>
    <x v="8"/>
  </r>
  <r>
    <n v="375000"/>
    <n v="3"/>
    <n v="2.5"/>
    <n v="2882"/>
    <x v="44"/>
    <x v="13"/>
  </r>
  <r>
    <n v="375000"/>
    <n v="4"/>
    <n v="3"/>
    <n v="2581"/>
    <x v="23"/>
    <x v="7"/>
  </r>
  <r>
    <n v="375000"/>
    <n v="5"/>
    <n v="3"/>
    <n v="2350"/>
    <x v="7"/>
    <x v="6"/>
  </r>
  <r>
    <n v="375000"/>
    <n v="4"/>
    <n v="2.5"/>
    <n v="3164"/>
    <x v="17"/>
    <x v="16"/>
  </r>
  <r>
    <n v="379000"/>
    <n v="4"/>
    <n v="3.5"/>
    <n v="2728"/>
    <x v="55"/>
    <x v="11"/>
  </r>
  <r>
    <n v="379000"/>
    <n v="5"/>
    <n v="3"/>
    <n v="3060"/>
    <x v="13"/>
    <x v="16"/>
  </r>
  <r>
    <n v="379900"/>
    <n v="4"/>
    <n v="3"/>
    <n v="2792"/>
    <x v="32"/>
    <x v="16"/>
  </r>
  <r>
    <n v="380000"/>
    <n v="3"/>
    <n v="1.5"/>
    <n v="1176"/>
    <x v="76"/>
    <x v="12"/>
  </r>
  <r>
    <n v="385000"/>
    <n v="3"/>
    <n v="2.5"/>
    <n v="2325"/>
    <x v="4"/>
    <x v="12"/>
  </r>
  <r>
    <n v="385000"/>
    <n v="4"/>
    <n v="2.5"/>
    <n v="2418"/>
    <x v="55"/>
    <x v="4"/>
  </r>
  <r>
    <n v="385000"/>
    <n v="5"/>
    <n v="3.5"/>
    <n v="3132"/>
    <x v="31"/>
    <x v="16"/>
  </r>
  <r>
    <n v="388500"/>
    <n v="4"/>
    <n v="2.5"/>
    <n v="2693"/>
    <x v="44"/>
    <x v="11"/>
  </r>
  <r>
    <n v="389000"/>
    <n v="5"/>
    <n v="4"/>
    <n v="3725"/>
    <x v="71"/>
    <x v="21"/>
  </r>
  <r>
    <n v="389900"/>
    <n v="4"/>
    <n v="3"/>
    <n v="3093"/>
    <x v="4"/>
    <x v="12"/>
  </r>
  <r>
    <n v="389900"/>
    <n v="5"/>
    <n v="3"/>
    <n v="3723"/>
    <x v="77"/>
    <x v="9"/>
  </r>
  <r>
    <n v="390000"/>
    <n v="5"/>
    <n v="2.5"/>
    <n v="3109"/>
    <x v="31"/>
    <x v="16"/>
  </r>
  <r>
    <n v="391900"/>
    <n v="5"/>
    <n v="2.5"/>
    <n v="2812"/>
    <x v="34"/>
    <x v="16"/>
  </r>
  <r>
    <n v="395000"/>
    <n v="5"/>
    <n v="2.5"/>
    <n v="3095"/>
    <x v="19"/>
    <x v="11"/>
  </r>
  <r>
    <n v="395000"/>
    <n v="5"/>
    <n v="3.5"/>
    <n v="4240"/>
    <x v="17"/>
    <x v="8"/>
  </r>
  <r>
    <n v="395000"/>
    <n v="4"/>
    <n v="2.5"/>
    <n v="3273"/>
    <x v="59"/>
    <x v="16"/>
  </r>
  <r>
    <n v="395000"/>
    <n v="4"/>
    <n v="3"/>
    <n v="2792"/>
    <x v="43"/>
    <x v="16"/>
  </r>
  <r>
    <n v="395000"/>
    <n v="5"/>
    <n v="6"/>
    <n v="4516"/>
    <x v="43"/>
    <x v="16"/>
  </r>
  <r>
    <n v="395000"/>
    <n v="3"/>
    <n v="3"/>
    <n v="2987"/>
    <x v="55"/>
    <x v="1"/>
  </r>
  <r>
    <n v="395000"/>
    <n v="3"/>
    <n v="2.5"/>
    <n v="1800"/>
    <x v="34"/>
    <x v="4"/>
  </r>
  <r>
    <n v="395000"/>
    <n v="3"/>
    <n v="2"/>
    <n v="1713"/>
    <x v="78"/>
    <x v="4"/>
  </r>
  <r>
    <n v="395000"/>
    <n v="3"/>
    <n v="2"/>
    <n v="1960"/>
    <x v="78"/>
    <x v="9"/>
  </r>
  <r>
    <n v="398500"/>
    <n v="4"/>
    <n v="2.5"/>
    <n v="2497"/>
    <x v="53"/>
    <x v="12"/>
  </r>
  <r>
    <n v="398800"/>
    <n v="4"/>
    <n v="2.5"/>
    <n v="3176"/>
    <x v="61"/>
    <x v="16"/>
  </r>
  <r>
    <n v="399000"/>
    <n v="3"/>
    <n v="2.5"/>
    <n v="3010"/>
    <x v="43"/>
    <x v="8"/>
  </r>
  <r>
    <n v="399000"/>
    <n v="3"/>
    <n v="2.5"/>
    <n v="2732"/>
    <x v="44"/>
    <x v="16"/>
  </r>
  <r>
    <n v="399000"/>
    <n v="2"/>
    <n v="2"/>
    <n v="1201"/>
    <x v="0"/>
    <x v="9"/>
  </r>
  <r>
    <n v="399900"/>
    <n v="4"/>
    <n v="2.5"/>
    <n v="3260"/>
    <x v="44"/>
    <x v="16"/>
  </r>
  <r>
    <n v="399900"/>
    <n v="4"/>
    <n v="3"/>
    <n v="2160"/>
    <x v="56"/>
    <x v="12"/>
  </r>
  <r>
    <n v="399900"/>
    <n v="5"/>
    <n v="3"/>
    <n v="3035"/>
    <x v="55"/>
    <x v="16"/>
  </r>
  <r>
    <n v="399900"/>
    <n v="3"/>
    <n v="2"/>
    <n v="2711"/>
    <x v="79"/>
    <x v="12"/>
  </r>
  <r>
    <n v="399900"/>
    <n v="5"/>
    <n v="4"/>
    <n v="3950"/>
    <x v="39"/>
    <x v="7"/>
  </r>
  <r>
    <n v="399900"/>
    <n v="6"/>
    <n v="5"/>
    <n v="3711"/>
    <x v="47"/>
    <x v="3"/>
  </r>
  <r>
    <n v="399900"/>
    <n v="5"/>
    <n v="3.5"/>
    <n v="3183"/>
    <x v="21"/>
    <x v="6"/>
  </r>
  <r>
    <n v="399999"/>
    <n v="4"/>
    <n v="2.5"/>
    <n v="2972"/>
    <x v="27"/>
    <x v="8"/>
  </r>
  <r>
    <n v="404900"/>
    <n v="3"/>
    <n v="2.5"/>
    <n v="2638"/>
    <x v="13"/>
    <x v="8"/>
  </r>
  <r>
    <n v="407900"/>
    <n v="5"/>
    <n v="3"/>
    <n v="3023"/>
    <x v="34"/>
    <x v="16"/>
  </r>
  <r>
    <n v="407900"/>
    <n v="5"/>
    <n v="3.5"/>
    <n v="2919"/>
    <x v="55"/>
    <x v="16"/>
  </r>
  <r>
    <n v="407990"/>
    <n v="3"/>
    <n v="3.5"/>
    <n v="2898"/>
    <x v="34"/>
    <x v="8"/>
  </r>
  <r>
    <n v="409000"/>
    <n v="3"/>
    <n v="2.5"/>
    <n v="2965"/>
    <x v="55"/>
    <x v="13"/>
  </r>
  <r>
    <n v="409900"/>
    <n v="4"/>
    <n v="3.5"/>
    <n v="2885"/>
    <x v="34"/>
    <x v="23"/>
  </r>
  <r>
    <n v="412900"/>
    <n v="5"/>
    <n v="3.5"/>
    <n v="2960"/>
    <x v="34"/>
    <x v="23"/>
  </r>
  <r>
    <n v="413759"/>
    <n v="6"/>
    <n v="5"/>
    <n v="4316"/>
    <x v="47"/>
    <x v="3"/>
  </r>
  <r>
    <n v="414072"/>
    <n v="3"/>
    <n v="2.5"/>
    <n v="2540"/>
    <x v="34"/>
    <x v="8"/>
  </r>
  <r>
    <n v="418141"/>
    <n v="4"/>
    <n v="4.5"/>
    <n v="2893"/>
    <x v="34"/>
    <x v="8"/>
  </r>
  <r>
    <n v="419000"/>
    <n v="4"/>
    <n v="3.5"/>
    <n v="3245"/>
    <x v="44"/>
    <x v="16"/>
  </r>
  <r>
    <n v="419900"/>
    <n v="4"/>
    <n v="3.5"/>
    <n v="3250"/>
    <x v="48"/>
    <x v="16"/>
  </r>
  <r>
    <n v="419900"/>
    <n v="5"/>
    <n v="3.5"/>
    <n v="3190"/>
    <x v="15"/>
    <x v="7"/>
  </r>
  <r>
    <n v="419900"/>
    <n v="4"/>
    <n v="3"/>
    <n v="3450"/>
    <x v="18"/>
    <x v="8"/>
  </r>
  <r>
    <n v="420000"/>
    <n v="3"/>
    <n v="2.5"/>
    <n v="2759"/>
    <x v="66"/>
    <x v="8"/>
  </r>
  <r>
    <n v="420000"/>
    <n v="3"/>
    <n v="2.5"/>
    <n v="1970"/>
    <x v="51"/>
    <x v="4"/>
  </r>
  <r>
    <n v="421058"/>
    <n v="3"/>
    <n v="2.5"/>
    <n v="2893"/>
    <x v="34"/>
    <x v="8"/>
  </r>
  <r>
    <n v="422500"/>
    <n v="5"/>
    <n v="4"/>
    <n v="3206"/>
    <x v="32"/>
    <x v="16"/>
  </r>
  <r>
    <n v="424900"/>
    <n v="5"/>
    <n v="4"/>
    <n v="4206"/>
    <x v="43"/>
    <x v="16"/>
  </r>
  <r>
    <n v="424990"/>
    <n v="3"/>
    <n v="3.5"/>
    <n v="3096"/>
    <x v="34"/>
    <x v="8"/>
  </r>
  <r>
    <n v="425000"/>
    <n v="5"/>
    <n v="3.5"/>
    <n v="3815"/>
    <x v="59"/>
    <x v="11"/>
  </r>
  <r>
    <n v="425000"/>
    <n v="4"/>
    <n v="4"/>
    <n v="3656"/>
    <x v="66"/>
    <x v="7"/>
  </r>
  <r>
    <n v="425000"/>
    <n v="5"/>
    <n v="3"/>
    <n v="3141"/>
    <x v="65"/>
    <x v="24"/>
  </r>
  <r>
    <n v="425000"/>
    <n v="5"/>
    <n v="4"/>
    <n v="3664"/>
    <x v="61"/>
    <x v="16"/>
  </r>
  <r>
    <n v="425000"/>
    <n v="4"/>
    <n v="3"/>
    <n v="3400"/>
    <x v="13"/>
    <x v="16"/>
  </r>
  <r>
    <n v="427000"/>
    <n v="5"/>
    <n v="4"/>
    <n v="3045"/>
    <x v="34"/>
    <x v="23"/>
  </r>
  <r>
    <n v="428000"/>
    <n v="5"/>
    <n v="4"/>
    <n v="3344"/>
    <x v="47"/>
    <x v="16"/>
  </r>
  <r>
    <n v="428000"/>
    <n v="5"/>
    <n v="4"/>
    <n v="3344"/>
    <x v="47"/>
    <x v="16"/>
  </r>
  <r>
    <n v="429000"/>
    <n v="5"/>
    <n v="3"/>
    <n v="2938"/>
    <x v="62"/>
    <x v="11"/>
  </r>
  <r>
    <n v="429000"/>
    <n v="4"/>
    <n v="3"/>
    <n v="3373"/>
    <x v="44"/>
    <x v="16"/>
  </r>
  <r>
    <n v="429000"/>
    <n v="4"/>
    <n v="5"/>
    <n v="3949"/>
    <x v="80"/>
    <x v="9"/>
  </r>
  <r>
    <n v="429900"/>
    <n v="4"/>
    <n v="3.5"/>
    <n v="2985"/>
    <x v="55"/>
    <x v="16"/>
  </r>
  <r>
    <n v="434900"/>
    <n v="4"/>
    <n v="3"/>
    <n v="2797"/>
    <x v="59"/>
    <x v="8"/>
  </r>
  <r>
    <n v="435900"/>
    <n v="5"/>
    <n v="3.5"/>
    <n v="3240"/>
    <x v="55"/>
    <x v="16"/>
  </r>
  <r>
    <n v="439000"/>
    <n v="4"/>
    <n v="3"/>
    <n v="2665"/>
    <x v="10"/>
    <x v="12"/>
  </r>
  <r>
    <n v="439000"/>
    <n v="4"/>
    <n v="3.5"/>
    <n v="2891"/>
    <x v="44"/>
    <x v="4"/>
  </r>
  <r>
    <n v="439900"/>
    <n v="5"/>
    <n v="3"/>
    <n v="2984"/>
    <x v="50"/>
    <x v="6"/>
  </r>
  <r>
    <n v="439900"/>
    <n v="5"/>
    <n v="3"/>
    <n v="3549"/>
    <x v="55"/>
    <x v="4"/>
  </r>
  <r>
    <n v="440000"/>
    <n v="5"/>
    <n v="4"/>
    <n v="3350"/>
    <x v="52"/>
    <x v="16"/>
  </r>
  <r>
    <n v="444990"/>
    <n v="4"/>
    <n v="3.5"/>
    <n v="2821"/>
    <x v="34"/>
    <x v="8"/>
  </r>
  <r>
    <n v="445000"/>
    <n v="5"/>
    <n v="4.5"/>
    <n v="4373"/>
    <x v="44"/>
    <x v="16"/>
  </r>
  <r>
    <n v="449000"/>
    <n v="4"/>
    <n v="3"/>
    <n v="3094"/>
    <x v="44"/>
    <x v="11"/>
  </r>
  <r>
    <n v="449000"/>
    <n v="4"/>
    <n v="3.5"/>
    <n v="3686"/>
    <x v="59"/>
    <x v="16"/>
  </r>
  <r>
    <n v="449000"/>
    <n v="4"/>
    <n v="3.5"/>
    <n v="2500"/>
    <x v="43"/>
    <x v="4"/>
  </r>
  <r>
    <n v="449500"/>
    <n v="4"/>
    <n v="3.5"/>
    <n v="3240"/>
    <x v="10"/>
    <x v="7"/>
  </r>
  <r>
    <n v="450000"/>
    <n v="4"/>
    <n v="3.5"/>
    <n v="3215"/>
    <x v="55"/>
    <x v="13"/>
  </r>
  <r>
    <n v="450000"/>
    <n v="5"/>
    <n v="3"/>
    <n v="3875"/>
    <x v="17"/>
    <x v="16"/>
  </r>
  <r>
    <n v="450000"/>
    <n v="4"/>
    <n v="3"/>
    <n v="2350"/>
    <x v="81"/>
    <x v="0"/>
  </r>
  <r>
    <n v="450000"/>
    <n v="4"/>
    <n v="3.5"/>
    <n v="2425"/>
    <x v="82"/>
    <x v="9"/>
  </r>
  <r>
    <n v="454900"/>
    <n v="4"/>
    <n v="4"/>
    <n v="3689"/>
    <x v="55"/>
    <x v="16"/>
  </r>
  <r>
    <n v="459900"/>
    <n v="4"/>
    <n v="3"/>
    <n v="2469"/>
    <x v="73"/>
    <x v="9"/>
  </r>
  <r>
    <n v="460000"/>
    <n v="5"/>
    <n v="4"/>
    <n v="4733"/>
    <x v="27"/>
    <x v="16"/>
  </r>
  <r>
    <n v="464900"/>
    <n v="4"/>
    <n v="3.5"/>
    <n v="3167"/>
    <x v="43"/>
    <x v="13"/>
  </r>
  <r>
    <n v="465000"/>
    <n v="4"/>
    <n v="2.5"/>
    <n v="3512"/>
    <x v="19"/>
    <x v="2"/>
  </r>
  <r>
    <n v="466900"/>
    <n v="3"/>
    <n v="2.5"/>
    <n v="4864"/>
    <x v="55"/>
    <x v="11"/>
  </r>
  <r>
    <n v="468000"/>
    <n v="4"/>
    <n v="3"/>
    <n v="3015"/>
    <x v="34"/>
    <x v="12"/>
  </r>
  <r>
    <n v="469900"/>
    <n v="3"/>
    <n v="2.5"/>
    <n v="2131"/>
    <x v="32"/>
    <x v="9"/>
  </r>
  <r>
    <n v="470000"/>
    <n v="4"/>
    <n v="3"/>
    <n v="3600"/>
    <x v="57"/>
    <x v="7"/>
  </r>
  <r>
    <n v="474500"/>
    <n v="3"/>
    <n v="2"/>
    <n v="2731"/>
    <x v="1"/>
    <x v="6"/>
  </r>
  <r>
    <n v="474900"/>
    <n v="4"/>
    <n v="2.5"/>
    <n v="2287"/>
    <x v="83"/>
    <x v="1"/>
  </r>
  <r>
    <n v="474900"/>
    <n v="4"/>
    <n v="3.5"/>
    <n v="3232"/>
    <x v="44"/>
    <x v="16"/>
  </r>
  <r>
    <n v="475000"/>
    <n v="5"/>
    <n v="3.5"/>
    <n v="3332"/>
    <x v="41"/>
    <x v="6"/>
  </r>
  <r>
    <n v="475000"/>
    <n v="6"/>
    <n v="5"/>
    <n v="4182"/>
    <x v="44"/>
    <x v="16"/>
  </r>
  <r>
    <n v="475000"/>
    <n v="5"/>
    <n v="5"/>
    <n v="3865"/>
    <x v="43"/>
    <x v="16"/>
  </r>
  <r>
    <n v="479900"/>
    <n v="5"/>
    <n v="4.5"/>
    <n v="3325"/>
    <x v="34"/>
    <x v="16"/>
  </r>
  <r>
    <n v="484900"/>
    <n v="4"/>
    <n v="2.5"/>
    <n v="2057"/>
    <x v="70"/>
    <x v="9"/>
  </r>
  <r>
    <n v="485000"/>
    <n v="3"/>
    <n v="2.5"/>
    <n v="2136"/>
    <x v="39"/>
    <x v="9"/>
  </r>
  <r>
    <n v="485000"/>
    <n v="4"/>
    <n v="3.5"/>
    <n v="3294"/>
    <x v="25"/>
    <x v="7"/>
  </r>
  <r>
    <n v="489000"/>
    <n v="4"/>
    <n v="5"/>
    <n v="3840"/>
    <x v="47"/>
    <x v="11"/>
  </r>
  <r>
    <n v="489900"/>
    <n v="5"/>
    <n v="3.5"/>
    <n v="3710"/>
    <x v="43"/>
    <x v="11"/>
  </r>
  <r>
    <n v="489900"/>
    <n v="4"/>
    <n v="2.5"/>
    <n v="3407"/>
    <x v="31"/>
    <x v="13"/>
  </r>
  <r>
    <n v="489900"/>
    <n v="3"/>
    <n v="3"/>
    <n v="2650"/>
    <x v="84"/>
    <x v="9"/>
  </r>
  <r>
    <n v="489900"/>
    <n v="5"/>
    <n v="4"/>
    <n v="4119"/>
    <x v="47"/>
    <x v="16"/>
  </r>
  <r>
    <n v="489900"/>
    <n v="3"/>
    <n v="5"/>
    <n v="4040"/>
    <x v="66"/>
    <x v="7"/>
  </r>
  <r>
    <n v="493000"/>
    <n v="3"/>
    <n v="2"/>
    <n v="2000"/>
    <x v="53"/>
    <x v="6"/>
  </r>
  <r>
    <n v="495000"/>
    <n v="4"/>
    <n v="3"/>
    <n v="2438"/>
    <x v="8"/>
    <x v="6"/>
  </r>
  <r>
    <n v="495000"/>
    <n v="3"/>
    <n v="2"/>
    <n v="1427"/>
    <x v="73"/>
    <x v="12"/>
  </r>
  <r>
    <n v="497900"/>
    <n v="5"/>
    <n v="4"/>
    <n v="3275"/>
    <x v="34"/>
    <x v="16"/>
  </r>
  <r>
    <n v="499000"/>
    <n v="4"/>
    <n v="3.5"/>
    <n v="3788"/>
    <x v="46"/>
    <x v="1"/>
  </r>
  <r>
    <n v="499000"/>
    <n v="5"/>
    <n v="4.5"/>
    <n v="3933"/>
    <x v="62"/>
    <x v="11"/>
  </r>
  <r>
    <n v="499000"/>
    <n v="4"/>
    <n v="3.5"/>
    <n v="3352"/>
    <x v="43"/>
    <x v="10"/>
  </r>
  <r>
    <n v="499000"/>
    <n v="5"/>
    <n v="4"/>
    <n v="4828"/>
    <x v="44"/>
    <x v="16"/>
  </r>
  <r>
    <n v="499000"/>
    <n v="5"/>
    <n v="4"/>
    <n v="4127"/>
    <x v="55"/>
    <x v="16"/>
  </r>
  <r>
    <n v="499900"/>
    <n v="5"/>
    <n v="4"/>
    <n v="4003"/>
    <x v="48"/>
    <x v="8"/>
  </r>
  <r>
    <n v="499900"/>
    <n v="4"/>
    <n v="3.5"/>
    <n v="3400"/>
    <x v="47"/>
    <x v="8"/>
  </r>
  <r>
    <n v="499900"/>
    <n v="5"/>
    <n v="4"/>
    <n v="3860"/>
    <x v="59"/>
    <x v="16"/>
  </r>
  <r>
    <n v="499900"/>
    <n v="5"/>
    <n v="4.5"/>
    <n v="5025"/>
    <x v="43"/>
    <x v="16"/>
  </r>
  <r>
    <n v="499900"/>
    <n v="4"/>
    <n v="3"/>
    <n v="2178"/>
    <x v="2"/>
    <x v="9"/>
  </r>
  <r>
    <n v="500000"/>
    <n v="5"/>
    <n v="3"/>
    <n v="3520"/>
    <x v="85"/>
    <x v="7"/>
  </r>
  <r>
    <n v="500000"/>
    <n v="4"/>
    <n v="3"/>
    <n v="2438"/>
    <x v="37"/>
    <x v="8"/>
  </r>
  <r>
    <n v="500000"/>
    <n v="4"/>
    <n v="3"/>
    <n v="3211"/>
    <x v="59"/>
    <x v="16"/>
  </r>
  <r>
    <n v="510000"/>
    <n v="4"/>
    <n v="4"/>
    <n v="3177"/>
    <x v="42"/>
    <x v="6"/>
  </r>
  <r>
    <n v="514000"/>
    <n v="4"/>
    <n v="3.5"/>
    <n v="3134"/>
    <x v="38"/>
    <x v="7"/>
  </r>
  <r>
    <n v="514900"/>
    <n v="3"/>
    <n v="3"/>
    <n v="2750"/>
    <x v="34"/>
    <x v="16"/>
  </r>
  <r>
    <n v="515000"/>
    <n v="5"/>
    <n v="3.5"/>
    <n v="4766"/>
    <x v="31"/>
    <x v="16"/>
  </r>
  <r>
    <n v="518000"/>
    <n v="4"/>
    <n v="4"/>
    <n v="3328"/>
    <x v="43"/>
    <x v="12"/>
  </r>
  <r>
    <n v="519000"/>
    <n v="4"/>
    <n v="3.5"/>
    <n v="4048"/>
    <x v="55"/>
    <x v="16"/>
  </r>
  <r>
    <n v="519900"/>
    <n v="4"/>
    <n v="3.5"/>
    <n v="3006"/>
    <x v="55"/>
    <x v="8"/>
  </r>
  <r>
    <n v="519900"/>
    <n v="5"/>
    <n v="5"/>
    <n v="4175"/>
    <x v="47"/>
    <x v="16"/>
  </r>
  <r>
    <n v="520000"/>
    <n v="5"/>
    <n v="5.5"/>
    <n v="4238"/>
    <x v="55"/>
    <x v="16"/>
  </r>
  <r>
    <n v="523000"/>
    <n v="4"/>
    <n v="4.5"/>
    <n v="3317"/>
    <x v="61"/>
    <x v="7"/>
  </r>
  <r>
    <n v="525000"/>
    <n v="5"/>
    <n v="4"/>
    <n v="5235"/>
    <x v="53"/>
    <x v="4"/>
  </r>
  <r>
    <n v="525000"/>
    <n v="4"/>
    <n v="3"/>
    <n v="2681"/>
    <x v="50"/>
    <x v="6"/>
  </r>
  <r>
    <n v="525000"/>
    <n v="5"/>
    <n v="3.5"/>
    <n v="3279"/>
    <x v="34"/>
    <x v="16"/>
  </r>
  <r>
    <n v="529000"/>
    <n v="3"/>
    <n v="3.5"/>
    <n v="3074"/>
    <x v="61"/>
    <x v="7"/>
  </r>
  <r>
    <n v="529000"/>
    <n v="4"/>
    <n v="2.5"/>
    <n v="3329"/>
    <x v="7"/>
    <x v="6"/>
  </r>
  <r>
    <n v="529900"/>
    <n v="4"/>
    <n v="2.5"/>
    <n v="2743"/>
    <x v="61"/>
    <x v="12"/>
  </r>
  <r>
    <n v="529990"/>
    <n v="4"/>
    <n v="3.5"/>
    <n v="3783"/>
    <x v="47"/>
    <x v="12"/>
  </r>
  <r>
    <n v="535000"/>
    <n v="4"/>
    <n v="3.5"/>
    <n v="2812"/>
    <x v="47"/>
    <x v="6"/>
  </r>
  <r>
    <n v="535000"/>
    <n v="4"/>
    <n v="3.5"/>
    <n v="3250"/>
    <x v="34"/>
    <x v="16"/>
  </r>
  <r>
    <n v="535000"/>
    <n v="4"/>
    <n v="3.5"/>
    <n v="3407"/>
    <x v="44"/>
    <x v="16"/>
  </r>
  <r>
    <n v="539000"/>
    <n v="4"/>
    <n v="3.5"/>
    <n v="4261"/>
    <x v="59"/>
    <x v="13"/>
  </r>
  <r>
    <n v="539000"/>
    <n v="5"/>
    <n v="4"/>
    <n v="3571"/>
    <x v="43"/>
    <x v="16"/>
  </r>
  <r>
    <n v="539900"/>
    <n v="6"/>
    <n v="5"/>
    <n v="5338"/>
    <x v="59"/>
    <x v="16"/>
  </r>
  <r>
    <n v="540000"/>
    <n v="3"/>
    <n v="2.5"/>
    <n v="2916"/>
    <x v="43"/>
    <x v="12"/>
  </r>
  <r>
    <n v="540000"/>
    <n v="4"/>
    <n v="3"/>
    <n v="3200"/>
    <x v="34"/>
    <x v="16"/>
  </r>
  <r>
    <n v="544900"/>
    <n v="5"/>
    <n v="4.5"/>
    <n v="4736"/>
    <x v="44"/>
    <x v="7"/>
  </r>
  <r>
    <n v="549900"/>
    <n v="4"/>
    <n v="4"/>
    <n v="3590"/>
    <x v="43"/>
    <x v="8"/>
  </r>
  <r>
    <n v="549900"/>
    <n v="4"/>
    <n v="5"/>
    <n v="5105"/>
    <x v="55"/>
    <x v="2"/>
  </r>
  <r>
    <n v="549900"/>
    <n v="4"/>
    <n v="3.5"/>
    <n v="3584"/>
    <x v="62"/>
    <x v="6"/>
  </r>
  <r>
    <n v="549900"/>
    <n v="3"/>
    <n v="3"/>
    <n v="2566"/>
    <x v="74"/>
    <x v="22"/>
  </r>
  <r>
    <n v="549990"/>
    <n v="4"/>
    <n v="4"/>
    <n v="4266"/>
    <x v="47"/>
    <x v="12"/>
  </r>
  <r>
    <n v="559900"/>
    <n v="6"/>
    <n v="3"/>
    <n v="3305"/>
    <x v="86"/>
    <x v="9"/>
  </r>
  <r>
    <n v="559900"/>
    <n v="4"/>
    <n v="2.5"/>
    <n v="3205"/>
    <x v="8"/>
    <x v="6"/>
  </r>
  <r>
    <n v="562500"/>
    <n v="4"/>
    <n v="3.5"/>
    <n v="3828"/>
    <x v="54"/>
    <x v="7"/>
  </r>
  <r>
    <n v="564900"/>
    <n v="5"/>
    <n v="4.5"/>
    <n v="3983"/>
    <x v="55"/>
    <x v="8"/>
  </r>
  <r>
    <n v="565000"/>
    <n v="5"/>
    <n v="3.5"/>
    <n v="3762"/>
    <x v="27"/>
    <x v="13"/>
  </r>
  <r>
    <n v="569000"/>
    <n v="5"/>
    <n v="3.5"/>
    <n v="3381"/>
    <x v="47"/>
    <x v="6"/>
  </r>
  <r>
    <n v="570000"/>
    <n v="4"/>
    <n v="3.5"/>
    <n v="2211"/>
    <x v="49"/>
    <x v="9"/>
  </r>
  <r>
    <n v="572900"/>
    <n v="5"/>
    <n v="3.5"/>
    <n v="4365"/>
    <x v="41"/>
    <x v="6"/>
  </r>
  <r>
    <n v="574900"/>
    <n v="6"/>
    <n v="5"/>
    <n v="5355"/>
    <x v="32"/>
    <x v="16"/>
  </r>
  <r>
    <n v="575000"/>
    <n v="5"/>
    <n v="4"/>
    <n v="3305"/>
    <x v="44"/>
    <x v="8"/>
  </r>
  <r>
    <n v="575000"/>
    <n v="4"/>
    <n v="3.5"/>
    <n v="3750"/>
    <x v="47"/>
    <x v="11"/>
  </r>
  <r>
    <n v="575000"/>
    <n v="4"/>
    <n v="3"/>
    <n v="3374"/>
    <x v="87"/>
    <x v="9"/>
  </r>
  <r>
    <n v="575000"/>
    <n v="3"/>
    <n v="3"/>
    <n v="2603"/>
    <x v="57"/>
    <x v="6"/>
  </r>
  <r>
    <n v="575000"/>
    <n v="5"/>
    <n v="6"/>
    <n v="6428"/>
    <x v="43"/>
    <x v="16"/>
  </r>
  <r>
    <n v="579900"/>
    <n v="5"/>
    <n v="4"/>
    <n v="4400"/>
    <x v="47"/>
    <x v="16"/>
  </r>
  <r>
    <n v="579995"/>
    <n v="3"/>
    <n v="3"/>
    <n v="2616"/>
    <x v="47"/>
    <x v="13"/>
  </r>
  <r>
    <n v="589900"/>
    <n v="4"/>
    <n v="3.5"/>
    <n v="3400"/>
    <x v="34"/>
    <x v="8"/>
  </r>
  <r>
    <n v="592900"/>
    <n v="4"/>
    <n v="4"/>
    <n v="3630"/>
    <x v="34"/>
    <x v="16"/>
  </r>
  <r>
    <n v="593000"/>
    <n v="4"/>
    <n v="3.5"/>
    <n v="4950"/>
    <x v="28"/>
    <x v="7"/>
  </r>
  <r>
    <n v="594870"/>
    <n v="4"/>
    <n v="3.5"/>
    <n v="3600"/>
    <x v="34"/>
    <x v="8"/>
  </r>
  <r>
    <n v="594900"/>
    <n v="5"/>
    <n v="4"/>
    <n v="3379"/>
    <x v="34"/>
    <x v="8"/>
  </r>
  <r>
    <n v="595000"/>
    <n v="5"/>
    <n v="3.5"/>
    <n v="2936"/>
    <x v="18"/>
    <x v="6"/>
  </r>
  <r>
    <n v="595000"/>
    <n v="4"/>
    <n v="2.5"/>
    <n v="2902"/>
    <x v="57"/>
    <x v="8"/>
  </r>
  <r>
    <n v="599000"/>
    <n v="5"/>
    <n v="4.5"/>
    <n v="4090"/>
    <x v="4"/>
    <x v="6"/>
  </r>
  <r>
    <n v="599900"/>
    <n v="4"/>
    <n v="3.5"/>
    <n v="3610"/>
    <x v="39"/>
    <x v="8"/>
  </r>
  <r>
    <n v="599900"/>
    <n v="5"/>
    <n v="3.5"/>
    <n v="3975"/>
    <x v="34"/>
    <x v="6"/>
  </r>
  <r>
    <n v="599900"/>
    <n v="4"/>
    <n v="5"/>
    <n v="4812"/>
    <x v="47"/>
    <x v="11"/>
  </r>
  <r>
    <n v="599900"/>
    <n v="5"/>
    <n v="4"/>
    <n v="6172"/>
    <x v="35"/>
    <x v="12"/>
  </r>
  <r>
    <n v="599900"/>
    <n v="4"/>
    <n v="3.5"/>
    <n v="3145"/>
    <x v="34"/>
    <x v="12"/>
  </r>
  <r>
    <n v="599900"/>
    <n v="5"/>
    <n v="2"/>
    <n v="2700"/>
    <x v="75"/>
    <x v="22"/>
  </r>
  <r>
    <n v="599950"/>
    <n v="3"/>
    <n v="3"/>
    <n v="3931"/>
    <x v="55"/>
    <x v="16"/>
  </r>
  <r>
    <n v="600000"/>
    <n v="3"/>
    <n v="2"/>
    <n v="3000"/>
    <x v="88"/>
    <x v="0"/>
  </r>
  <r>
    <n v="605000"/>
    <n v="4"/>
    <n v="3.5"/>
    <n v="3823"/>
    <x v="33"/>
    <x v="7"/>
  </r>
  <r>
    <n v="609900"/>
    <n v="3"/>
    <n v="3.5"/>
    <n v="3482"/>
    <x v="31"/>
    <x v="9"/>
  </r>
  <r>
    <n v="610000"/>
    <n v="3"/>
    <n v="3"/>
    <n v="1629"/>
    <x v="89"/>
    <x v="12"/>
  </r>
  <r>
    <n v="616990"/>
    <n v="4"/>
    <n v="3.5"/>
    <n v="5241"/>
    <x v="47"/>
    <x v="12"/>
  </r>
  <r>
    <n v="619900"/>
    <n v="3"/>
    <n v="2.5"/>
    <n v="3660"/>
    <x v="31"/>
    <x v="7"/>
  </r>
  <r>
    <n v="619900"/>
    <n v="4"/>
    <n v="3.5"/>
    <n v="2711"/>
    <x v="34"/>
    <x v="9"/>
  </r>
  <r>
    <n v="620000"/>
    <n v="4"/>
    <n v="3"/>
    <n v="3250"/>
    <x v="70"/>
    <x v="9"/>
  </r>
  <r>
    <n v="624900"/>
    <n v="5"/>
    <n v="3.5"/>
    <n v="3872"/>
    <x v="44"/>
    <x v="16"/>
  </r>
  <r>
    <n v="625000"/>
    <n v="5"/>
    <n v="3.5"/>
    <n v="2881"/>
    <x v="47"/>
    <x v="11"/>
  </r>
  <r>
    <n v="625000"/>
    <n v="5"/>
    <n v="4.5"/>
    <n v="3679"/>
    <x v="34"/>
    <x v="8"/>
  </r>
  <r>
    <n v="625000"/>
    <n v="4"/>
    <n v="3.5"/>
    <n v="3275"/>
    <x v="47"/>
    <x v="6"/>
  </r>
  <r>
    <n v="625000"/>
    <n v="4"/>
    <n v="3.5"/>
    <n v="3356"/>
    <x v="47"/>
    <x v="6"/>
  </r>
  <r>
    <n v="625000"/>
    <n v="5"/>
    <n v="4.5"/>
    <n v="4796"/>
    <x v="43"/>
    <x v="6"/>
  </r>
  <r>
    <n v="627990"/>
    <n v="5"/>
    <n v="4.5"/>
    <n v="4239"/>
    <x v="34"/>
    <x v="7"/>
  </r>
  <r>
    <n v="629000"/>
    <n v="4"/>
    <n v="3.5"/>
    <n v="3948"/>
    <x v="31"/>
    <x v="8"/>
  </r>
  <r>
    <n v="629900"/>
    <n v="4"/>
    <n v="3.5"/>
    <n v="3966"/>
    <x v="54"/>
    <x v="8"/>
  </r>
  <r>
    <n v="630000"/>
    <n v="4"/>
    <n v="4"/>
    <n v="4295"/>
    <x v="59"/>
    <x v="13"/>
  </r>
  <r>
    <n v="634900"/>
    <n v="4"/>
    <n v="4.5"/>
    <n v="3616"/>
    <x v="43"/>
    <x v="8"/>
  </r>
  <r>
    <n v="637000"/>
    <n v="5"/>
    <n v="4"/>
    <n v="4118"/>
    <x v="65"/>
    <x v="8"/>
  </r>
  <r>
    <n v="639000"/>
    <n v="3"/>
    <n v="3.5"/>
    <n v="2519"/>
    <x v="70"/>
    <x v="12"/>
  </r>
  <r>
    <n v="640000"/>
    <n v="4"/>
    <n v="4.5"/>
    <n v="4274"/>
    <x v="47"/>
    <x v="8"/>
  </r>
  <r>
    <n v="642900"/>
    <n v="5"/>
    <n v="4"/>
    <n v="3940"/>
    <x v="47"/>
    <x v="8"/>
  </r>
  <r>
    <n v="649500"/>
    <n v="6"/>
    <n v="3.5"/>
    <n v="3355"/>
    <x v="75"/>
    <x v="22"/>
  </r>
  <r>
    <n v="649900"/>
    <n v="4"/>
    <n v="3.5"/>
    <n v="3280"/>
    <x v="34"/>
    <x v="6"/>
  </r>
  <r>
    <n v="649990"/>
    <n v="3"/>
    <n v="3"/>
    <n v="3100"/>
    <x v="34"/>
    <x v="8"/>
  </r>
  <r>
    <n v="649990"/>
    <n v="4"/>
    <n v="4"/>
    <n v="4289"/>
    <x v="47"/>
    <x v="12"/>
  </r>
  <r>
    <n v="649999"/>
    <n v="5"/>
    <n v="5"/>
    <n v="4792"/>
    <x v="47"/>
    <x v="8"/>
  </r>
  <r>
    <n v="650000"/>
    <n v="4"/>
    <n v="4.5"/>
    <n v="3900"/>
    <x v="34"/>
    <x v="11"/>
  </r>
  <r>
    <n v="650000"/>
    <n v="4"/>
    <n v="3.5"/>
    <n v="2901"/>
    <x v="34"/>
    <x v="9"/>
  </r>
  <r>
    <n v="650000"/>
    <n v="4"/>
    <n v="3.5"/>
    <n v="2800"/>
    <x v="47"/>
    <x v="6"/>
  </r>
  <r>
    <n v="659000"/>
    <n v="4"/>
    <n v="3.5"/>
    <n v="2909"/>
    <x v="47"/>
    <x v="12"/>
  </r>
  <r>
    <n v="659900"/>
    <n v="4"/>
    <n v="3.5"/>
    <n v="3400"/>
    <x v="47"/>
    <x v="7"/>
  </r>
  <r>
    <n v="659900"/>
    <n v="5"/>
    <n v="3.5"/>
    <n v="4013"/>
    <x v="34"/>
    <x v="7"/>
  </r>
  <r>
    <n v="664257"/>
    <n v="4"/>
    <n v="3.5"/>
    <n v="3414"/>
    <x v="34"/>
    <x v="8"/>
  </r>
  <r>
    <n v="664900"/>
    <n v="5"/>
    <n v="3.5"/>
    <n v="3952"/>
    <x v="55"/>
    <x v="11"/>
  </r>
  <r>
    <n v="665000"/>
    <n v="6"/>
    <n v="4.5"/>
    <n v="4315"/>
    <x v="26"/>
    <x v="7"/>
  </r>
  <r>
    <n v="665990"/>
    <n v="5"/>
    <n v="4.5"/>
    <n v="3877"/>
    <x v="47"/>
    <x v="8"/>
  </r>
  <r>
    <n v="670000"/>
    <n v="4"/>
    <n v="3.5"/>
    <n v="2937"/>
    <x v="47"/>
    <x v="6"/>
  </r>
  <r>
    <n v="674300"/>
    <n v="5"/>
    <n v="5"/>
    <n v="3885"/>
    <x v="34"/>
    <x v="8"/>
  </r>
  <r>
    <n v="674500"/>
    <n v="4"/>
    <n v="2.5"/>
    <n v="3603"/>
    <x v="22"/>
    <x v="7"/>
  </r>
  <r>
    <n v="674950"/>
    <n v="4"/>
    <n v="3.5"/>
    <n v="2963"/>
    <x v="43"/>
    <x v="12"/>
  </r>
  <r>
    <n v="674990"/>
    <n v="5"/>
    <n v="4.5"/>
    <n v="4131"/>
    <x v="47"/>
    <x v="12"/>
  </r>
  <r>
    <n v="680000"/>
    <n v="4"/>
    <n v="3"/>
    <n v="3825"/>
    <x v="41"/>
    <x v="8"/>
  </r>
  <r>
    <n v="681900"/>
    <n v="4"/>
    <n v="5.5"/>
    <n v="4800"/>
    <x v="34"/>
    <x v="11"/>
  </r>
  <r>
    <n v="684900"/>
    <n v="4"/>
    <n v="4.5"/>
    <n v="5848"/>
    <x v="31"/>
    <x v="16"/>
  </r>
  <r>
    <n v="689000"/>
    <n v="4"/>
    <n v="3"/>
    <n v="4047"/>
    <x v="69"/>
    <x v="7"/>
  </r>
  <r>
    <n v="689900"/>
    <n v="4"/>
    <n v="3.5"/>
    <n v="3605"/>
    <x v="34"/>
    <x v="8"/>
  </r>
  <r>
    <n v="691990"/>
    <n v="5"/>
    <n v="4.5"/>
    <n v="4519"/>
    <x v="47"/>
    <x v="8"/>
  </r>
  <r>
    <n v="695000"/>
    <n v="4"/>
    <n v="3.5"/>
    <n v="2921"/>
    <x v="34"/>
    <x v="9"/>
  </r>
  <r>
    <n v="695000"/>
    <n v="4"/>
    <n v="3"/>
    <n v="2841"/>
    <x v="90"/>
    <x v="22"/>
  </r>
  <r>
    <n v="699000"/>
    <n v="4"/>
    <n v="3.5"/>
    <n v="4012"/>
    <x v="28"/>
    <x v="8"/>
  </r>
  <r>
    <n v="699500"/>
    <n v="4"/>
    <n v="4.5"/>
    <n v="4730"/>
    <x v="24"/>
    <x v="7"/>
  </r>
  <r>
    <n v="699900"/>
    <n v="5"/>
    <n v="4.5"/>
    <n v="4288"/>
    <x v="55"/>
    <x v="11"/>
  </r>
  <r>
    <n v="699900"/>
    <n v="4"/>
    <n v="4.5"/>
    <n v="4021"/>
    <x v="20"/>
    <x v="8"/>
  </r>
  <r>
    <n v="699900"/>
    <n v="4"/>
    <n v="4"/>
    <n v="3558"/>
    <x v="37"/>
    <x v="8"/>
  </r>
  <r>
    <n v="699900"/>
    <n v="4"/>
    <n v="3.5"/>
    <n v="3576"/>
    <x v="34"/>
    <x v="12"/>
  </r>
  <r>
    <n v="699900"/>
    <n v="5"/>
    <n v="5.5"/>
    <n v="5226"/>
    <x v="55"/>
    <x v="16"/>
  </r>
  <r>
    <n v="699990"/>
    <n v="4"/>
    <n v="3.5"/>
    <n v="3832"/>
    <x v="34"/>
    <x v="8"/>
  </r>
  <r>
    <n v="700000"/>
    <n v="4"/>
    <n v="4"/>
    <n v="3000"/>
    <x v="34"/>
    <x v="9"/>
  </r>
  <r>
    <n v="700000"/>
    <n v="5"/>
    <n v="3"/>
    <n v="4258"/>
    <x v="91"/>
    <x v="9"/>
  </r>
  <r>
    <n v="719900"/>
    <n v="4"/>
    <n v="4"/>
    <n v="5991"/>
    <x v="44"/>
    <x v="11"/>
  </r>
  <r>
    <n v="719900"/>
    <n v="6"/>
    <n v="6"/>
    <n v="5633"/>
    <x v="27"/>
    <x v="16"/>
  </r>
  <r>
    <n v="724900"/>
    <n v="4"/>
    <n v="3.5"/>
    <n v="5234"/>
    <x v="32"/>
    <x v="16"/>
  </r>
  <r>
    <n v="725000"/>
    <n v="4"/>
    <n v="4.5"/>
    <n v="4796"/>
    <x v="43"/>
    <x v="11"/>
  </r>
  <r>
    <n v="725000"/>
    <n v="5"/>
    <n v="4"/>
    <n v="4155"/>
    <x v="65"/>
    <x v="8"/>
  </r>
  <r>
    <n v="725000"/>
    <n v="4"/>
    <n v="3.5"/>
    <n v="3532"/>
    <x v="1"/>
    <x v="6"/>
  </r>
  <r>
    <n v="725000"/>
    <n v="4"/>
    <n v="3.5"/>
    <n v="3850"/>
    <x v="43"/>
    <x v="12"/>
  </r>
  <r>
    <n v="725000"/>
    <n v="4"/>
    <n v="3.5"/>
    <n v="3467"/>
    <x v="47"/>
    <x v="9"/>
  </r>
  <r>
    <n v="729000"/>
    <n v="6"/>
    <n v="5"/>
    <n v="6451"/>
    <x v="44"/>
    <x v="16"/>
  </r>
  <r>
    <n v="729900"/>
    <n v="4"/>
    <n v="3.5"/>
    <n v="3140"/>
    <x v="52"/>
    <x v="9"/>
  </r>
  <r>
    <n v="733300"/>
    <n v="4"/>
    <n v="3.5"/>
    <n v="4867"/>
    <x v="27"/>
    <x v="16"/>
  </r>
  <r>
    <n v="739000"/>
    <n v="4"/>
    <n v="3.5"/>
    <n v="3046"/>
    <x v="24"/>
    <x v="9"/>
  </r>
  <r>
    <n v="739900"/>
    <n v="4"/>
    <n v="3.5"/>
    <n v="4152"/>
    <x v="55"/>
    <x v="7"/>
  </r>
  <r>
    <n v="745263"/>
    <n v="5"/>
    <n v="4.5"/>
    <n v="5434"/>
    <x v="47"/>
    <x v="8"/>
  </r>
  <r>
    <n v="749000"/>
    <n v="6"/>
    <n v="3.5"/>
    <n v="4785"/>
    <x v="47"/>
    <x v="7"/>
  </r>
  <r>
    <n v="749900"/>
    <n v="4"/>
    <n v="3.5"/>
    <n v="4525"/>
    <x v="26"/>
    <x v="7"/>
  </r>
  <r>
    <n v="749900"/>
    <n v="5"/>
    <n v="4.5"/>
    <n v="3998"/>
    <x v="65"/>
    <x v="7"/>
  </r>
  <r>
    <n v="750000"/>
    <n v="4"/>
    <n v="3.5"/>
    <n v="3582"/>
    <x v="47"/>
    <x v="9"/>
  </r>
  <r>
    <n v="750491"/>
    <n v="4"/>
    <n v="3.5"/>
    <n v="4096"/>
    <x v="47"/>
    <x v="8"/>
  </r>
  <r>
    <n v="764000"/>
    <n v="5"/>
    <n v="4"/>
    <n v="4099"/>
    <x v="34"/>
    <x v="8"/>
  </r>
  <r>
    <n v="764990"/>
    <n v="5"/>
    <n v="5"/>
    <n v="5016"/>
    <x v="47"/>
    <x v="8"/>
  </r>
  <r>
    <n v="765000"/>
    <n v="4"/>
    <n v="4.5"/>
    <n v="3733"/>
    <x v="43"/>
    <x v="12"/>
  </r>
  <r>
    <n v="769000"/>
    <n v="5"/>
    <n v="4.5"/>
    <n v="3921"/>
    <x v="34"/>
    <x v="6"/>
  </r>
  <r>
    <n v="774000"/>
    <n v="5"/>
    <n v="4.5"/>
    <n v="4727"/>
    <x v="43"/>
    <x v="8"/>
  </r>
  <r>
    <n v="774990"/>
    <n v="4"/>
    <n v="3.5"/>
    <n v="4971"/>
    <x v="48"/>
    <x v="8"/>
  </r>
  <r>
    <n v="775000"/>
    <n v="3"/>
    <n v="4"/>
    <n v="4622"/>
    <x v="43"/>
    <x v="8"/>
  </r>
  <r>
    <n v="775000"/>
    <n v="6"/>
    <n v="4.5"/>
    <n v="5598"/>
    <x v="47"/>
    <x v="8"/>
  </r>
  <r>
    <n v="775000"/>
    <n v="5"/>
    <n v="4.5"/>
    <n v="5879"/>
    <x v="55"/>
    <x v="16"/>
  </r>
  <r>
    <n v="775000"/>
    <n v="5"/>
    <n v="3"/>
    <n v="3845"/>
    <x v="52"/>
    <x v="9"/>
  </r>
  <r>
    <n v="779000"/>
    <n v="5"/>
    <n v="4"/>
    <n v="3257"/>
    <x v="34"/>
    <x v="12"/>
  </r>
  <r>
    <n v="785900"/>
    <n v="4"/>
    <n v="4.5"/>
    <n v="4160"/>
    <x v="51"/>
    <x v="12"/>
  </r>
  <r>
    <n v="789900"/>
    <n v="5"/>
    <n v="4.5"/>
    <n v="4850"/>
    <x v="34"/>
    <x v="7"/>
  </r>
  <r>
    <n v="795000"/>
    <n v="4"/>
    <n v="3.5"/>
    <n v="3900"/>
    <x v="58"/>
    <x v="9"/>
  </r>
  <r>
    <n v="795000"/>
    <n v="4"/>
    <n v="3.5"/>
    <n v="4246"/>
    <x v="39"/>
    <x v="0"/>
  </r>
  <r>
    <n v="799000"/>
    <n v="5"/>
    <n v="4.5"/>
    <n v="4506"/>
    <x v="59"/>
    <x v="13"/>
  </r>
  <r>
    <n v="799000"/>
    <n v="5"/>
    <n v="3.5"/>
    <n v="3449"/>
    <x v="52"/>
    <x v="9"/>
  </r>
  <r>
    <n v="799000"/>
    <n v="5"/>
    <n v="5"/>
    <n v="5089"/>
    <x v="26"/>
    <x v="16"/>
  </r>
  <r>
    <n v="799900"/>
    <n v="5"/>
    <n v="3.5"/>
    <n v="3681"/>
    <x v="73"/>
    <x v="12"/>
  </r>
  <r>
    <n v="799900"/>
    <n v="4"/>
    <n v="3.5"/>
    <n v="4406"/>
    <x v="39"/>
    <x v="7"/>
  </r>
  <r>
    <n v="799900"/>
    <n v="5"/>
    <n v="4.5"/>
    <n v="3652"/>
    <x v="47"/>
    <x v="8"/>
  </r>
  <r>
    <n v="799900"/>
    <n v="3"/>
    <n v="3.5"/>
    <n v="4251"/>
    <x v="55"/>
    <x v="9"/>
  </r>
  <r>
    <n v="815000"/>
    <n v="4"/>
    <n v="4.5"/>
    <n v="4248"/>
    <x v="26"/>
    <x v="7"/>
  </r>
  <r>
    <n v="819900"/>
    <n v="4"/>
    <n v="4.5"/>
    <n v="3553"/>
    <x v="47"/>
    <x v="9"/>
  </r>
  <r>
    <n v="825000"/>
    <n v="5"/>
    <n v="4"/>
    <n v="4825"/>
    <x v="11"/>
    <x v="6"/>
  </r>
  <r>
    <n v="839900"/>
    <n v="4"/>
    <n v="3.5"/>
    <n v="4185"/>
    <x v="53"/>
    <x v="7"/>
  </r>
  <r>
    <n v="839900"/>
    <n v="4"/>
    <n v="4.5"/>
    <n v="4413"/>
    <x v="47"/>
    <x v="16"/>
  </r>
  <r>
    <n v="840000"/>
    <n v="6"/>
    <n v="5.5"/>
    <n v="5263"/>
    <x v="34"/>
    <x v="8"/>
  </r>
  <r>
    <n v="849500"/>
    <n v="5"/>
    <n v="4.5"/>
    <n v="5014"/>
    <x v="31"/>
    <x v="13"/>
  </r>
  <r>
    <n v="849900"/>
    <n v="4"/>
    <n v="4"/>
    <n v="3605"/>
    <x v="83"/>
    <x v="9"/>
  </r>
  <r>
    <n v="849900"/>
    <n v="5"/>
    <n v="4.5"/>
    <n v="4852"/>
    <x v="41"/>
    <x v="8"/>
  </r>
  <r>
    <n v="850000"/>
    <n v="4"/>
    <n v="4.5"/>
    <n v="4500"/>
    <x v="27"/>
    <x v="7"/>
  </r>
  <r>
    <n v="854900"/>
    <n v="4"/>
    <n v="3.5"/>
    <n v="3191"/>
    <x v="32"/>
    <x v="9"/>
  </r>
  <r>
    <n v="860000"/>
    <n v="5"/>
    <n v="4"/>
    <n v="4530"/>
    <x v="18"/>
    <x v="6"/>
  </r>
  <r>
    <n v="860520"/>
    <n v="4"/>
    <n v="4.5"/>
    <n v="4779"/>
    <x v="34"/>
    <x v="12"/>
  </r>
  <r>
    <n v="874900"/>
    <n v="5"/>
    <n v="5"/>
    <n v="5201"/>
    <x v="44"/>
    <x v="8"/>
  </r>
  <r>
    <n v="875000"/>
    <n v="4"/>
    <n v="4.5"/>
    <n v="4314"/>
    <x v="44"/>
    <x v="8"/>
  </r>
  <r>
    <n v="875000"/>
    <n v="4"/>
    <n v="4"/>
    <n v="4026"/>
    <x v="41"/>
    <x v="6"/>
  </r>
  <r>
    <n v="885900"/>
    <n v="5"/>
    <n v="4.5"/>
    <n v="4716"/>
    <x v="55"/>
    <x v="12"/>
  </r>
  <r>
    <n v="895000"/>
    <n v="4"/>
    <n v="4.5"/>
    <n v="5052"/>
    <x v="52"/>
    <x v="6"/>
  </r>
  <r>
    <n v="899000"/>
    <n v="5"/>
    <n v="4.5"/>
    <n v="4261"/>
    <x v="55"/>
    <x v="12"/>
  </r>
  <r>
    <n v="899000"/>
    <n v="4"/>
    <n v="3.5"/>
    <n v="4000"/>
    <x v="47"/>
    <x v="9"/>
  </r>
  <r>
    <n v="899000"/>
    <n v="5"/>
    <n v="4.5"/>
    <n v="5412"/>
    <x v="52"/>
    <x v="6"/>
  </r>
  <r>
    <n v="899900"/>
    <n v="5"/>
    <n v="4.5"/>
    <n v="4760"/>
    <x v="55"/>
    <x v="8"/>
  </r>
  <r>
    <n v="899900"/>
    <n v="4"/>
    <n v="5"/>
    <n v="4220"/>
    <x v="47"/>
    <x v="16"/>
  </r>
  <r>
    <n v="899999"/>
    <n v="6"/>
    <n v="4.5"/>
    <n v="6000"/>
    <x v="44"/>
    <x v="16"/>
  </r>
  <r>
    <n v="900000"/>
    <n v="6"/>
    <n v="6"/>
    <n v="8068"/>
    <x v="31"/>
    <x v="13"/>
  </r>
  <r>
    <n v="918165"/>
    <n v="5"/>
    <n v="4.5"/>
    <n v="6155"/>
    <x v="47"/>
    <x v="7"/>
  </r>
  <r>
    <n v="925000"/>
    <n v="4"/>
    <n v="3.5"/>
    <n v="4046"/>
    <x v="71"/>
    <x v="9"/>
  </r>
  <r>
    <n v="935000"/>
    <n v="4"/>
    <n v="3.5"/>
    <n v="6487"/>
    <x v="92"/>
    <x v="4"/>
  </r>
  <r>
    <n v="935000"/>
    <n v="5"/>
    <n v="4.5"/>
    <n v="4826"/>
    <x v="47"/>
    <x v="16"/>
  </r>
  <r>
    <n v="939000"/>
    <n v="4"/>
    <n v="4.5"/>
    <n v="4906"/>
    <x v="52"/>
    <x v="12"/>
  </r>
  <r>
    <n v="949000"/>
    <n v="4"/>
    <n v="4.5"/>
    <n v="5150"/>
    <x v="52"/>
    <x v="6"/>
  </r>
  <r>
    <n v="949700"/>
    <n v="5"/>
    <n v="4.5"/>
    <n v="5844"/>
    <x v="28"/>
    <x v="7"/>
  </r>
  <r>
    <n v="949900"/>
    <n v="4"/>
    <n v="3.5"/>
    <n v="3800"/>
    <x v="47"/>
    <x v="12"/>
  </r>
  <r>
    <n v="949900"/>
    <n v="4"/>
    <n v="3.5"/>
    <n v="4222"/>
    <x v="43"/>
    <x v="9"/>
  </r>
  <r>
    <n v="950000"/>
    <n v="4"/>
    <n v="4.5"/>
    <n v="4725"/>
    <x v="34"/>
    <x v="7"/>
  </r>
  <r>
    <n v="969000"/>
    <n v="5"/>
    <n v="4.5"/>
    <n v="5231"/>
    <x v="53"/>
    <x v="7"/>
  </r>
  <r>
    <n v="974900"/>
    <n v="4"/>
    <n v="4.5"/>
    <n v="6483"/>
    <x v="27"/>
    <x v="25"/>
  </r>
  <r>
    <n v="980000"/>
    <n v="4"/>
    <n v="4.5"/>
    <n v="5614"/>
    <x v="31"/>
    <x v="13"/>
  </r>
  <r>
    <n v="985000"/>
    <n v="5"/>
    <n v="5.5"/>
    <n v="5822"/>
    <x v="39"/>
    <x v="8"/>
  </r>
  <r>
    <n v="995000"/>
    <n v="5"/>
    <n v="3.5"/>
    <n v="4580"/>
    <x v="23"/>
    <x v="9"/>
  </r>
  <r>
    <n v="999000"/>
    <n v="6"/>
    <n v="4"/>
    <n v="5000"/>
    <x v="47"/>
    <x v="9"/>
  </r>
  <r>
    <n v="999500"/>
    <n v="5"/>
    <n v="5"/>
    <n v="4266"/>
    <x v="34"/>
    <x v="12"/>
  </r>
  <r>
    <n v="999900"/>
    <n v="4"/>
    <n v="3.5"/>
    <n v="3501"/>
    <x v="34"/>
    <x v="6"/>
  </r>
  <r>
    <n v="1049900"/>
    <n v="4"/>
    <n v="3.5"/>
    <n v="3507"/>
    <x v="34"/>
    <x v="6"/>
  </r>
  <r>
    <n v="1049900"/>
    <n v="4"/>
    <n v="3.5"/>
    <n v="3477"/>
    <x v="34"/>
    <x v="6"/>
  </r>
  <r>
    <n v="1050000"/>
    <n v="5"/>
    <n v="5.5"/>
    <n v="5440"/>
    <x v="52"/>
    <x v="12"/>
  </r>
  <r>
    <n v="1075000"/>
    <n v="4"/>
    <n v="3"/>
    <n v="3701"/>
    <x v="43"/>
    <x v="8"/>
  </r>
  <r>
    <n v="1085000"/>
    <n v="4"/>
    <n v="4.5"/>
    <n v="4350"/>
    <x v="47"/>
    <x v="9"/>
  </r>
  <r>
    <n v="1099900"/>
    <n v="4"/>
    <n v="3.5"/>
    <n v="3434"/>
    <x v="34"/>
    <x v="6"/>
  </r>
  <r>
    <n v="1100000"/>
    <n v="4"/>
    <n v="3.5"/>
    <n v="4253"/>
    <x v="25"/>
    <x v="6"/>
  </r>
  <r>
    <n v="1100000"/>
    <n v="5"/>
    <n v="3.5"/>
    <n v="4361"/>
    <x v="25"/>
    <x v="9"/>
  </r>
  <r>
    <n v="1125000"/>
    <n v="5"/>
    <n v="5.5"/>
    <n v="6298"/>
    <x v="23"/>
    <x v="16"/>
  </r>
  <r>
    <n v="1125834"/>
    <n v="5"/>
    <n v="5"/>
    <n v="4811"/>
    <x v="71"/>
    <x v="8"/>
  </r>
  <r>
    <n v="1149900"/>
    <n v="4"/>
    <n v="3.5"/>
    <n v="3459"/>
    <x v="34"/>
    <x v="6"/>
  </r>
  <r>
    <n v="1150000"/>
    <n v="5"/>
    <n v="4.5"/>
    <n v="4408"/>
    <x v="67"/>
    <x v="22"/>
  </r>
  <r>
    <n v="1175000"/>
    <n v="4"/>
    <n v="4.5"/>
    <n v="7166"/>
    <x v="38"/>
    <x v="16"/>
  </r>
  <r>
    <n v="1225000"/>
    <n v="5"/>
    <n v="6"/>
    <n v="5605"/>
    <x v="38"/>
    <x v="12"/>
  </r>
  <r>
    <n v="1250000"/>
    <n v="6"/>
    <n v="7.5"/>
    <n v="8273"/>
    <x v="32"/>
    <x v="13"/>
  </r>
  <r>
    <n v="1250000"/>
    <n v="6"/>
    <n v="6.5"/>
    <n v="4656"/>
    <x v="93"/>
    <x v="22"/>
  </r>
  <r>
    <n v="1295000"/>
    <n v="5"/>
    <n v="4.5"/>
    <n v="6083"/>
    <x v="13"/>
    <x v="6"/>
  </r>
  <r>
    <n v="1295000"/>
    <n v="5"/>
    <n v="5.5"/>
    <n v="6156"/>
    <x v="27"/>
    <x v="9"/>
  </r>
  <r>
    <n v="1295000"/>
    <n v="4"/>
    <n v="3.5"/>
    <n v="4553"/>
    <x v="66"/>
    <x v="6"/>
  </r>
  <r>
    <n v="1385500"/>
    <n v="4"/>
    <n v="5.5"/>
    <n v="6680"/>
    <x v="47"/>
    <x v="16"/>
  </r>
  <r>
    <n v="1450000"/>
    <n v="4"/>
    <n v="5"/>
    <n v="5000"/>
    <x v="43"/>
    <x v="6"/>
  </r>
  <r>
    <n v="1475000"/>
    <n v="7"/>
    <n v="8"/>
    <n v="8024"/>
    <x v="32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 rowHeaderCaption="ZIP codes">
  <location ref="A3:C31" firstHeaderRow="1" firstDataRow="2" firstDataCol="1"/>
  <pivotFields count="6">
    <pivotField dataField="1" showAll="0"/>
    <pivotField showAll="0"/>
    <pivotField showAll="0"/>
    <pivotField showAll="0"/>
    <pivotField dataField="1" showAll="0" avgSubtotal="1">
      <items count="95">
        <item x="34"/>
        <item x="47"/>
        <item x="71"/>
        <item x="65"/>
        <item x="62"/>
        <item x="48"/>
        <item x="52"/>
        <item x="43"/>
        <item x="55"/>
        <item x="44"/>
        <item x="59"/>
        <item x="32"/>
        <item x="31"/>
        <item x="27"/>
        <item x="13"/>
        <item x="61"/>
        <item x="17"/>
        <item x="23"/>
        <item x="38"/>
        <item x="46"/>
        <item x="25"/>
        <item x="28"/>
        <item x="22"/>
        <item x="54"/>
        <item x="39"/>
        <item x="26"/>
        <item x="51"/>
        <item x="24"/>
        <item x="33"/>
        <item x="19"/>
        <item x="21"/>
        <item x="66"/>
        <item x="42"/>
        <item x="49"/>
        <item x="2"/>
        <item x="45"/>
        <item x="20"/>
        <item x="57"/>
        <item x="53"/>
        <item x="68"/>
        <item x="85"/>
        <item x="69"/>
        <item x="37"/>
        <item x="10"/>
        <item x="15"/>
        <item x="6"/>
        <item x="18"/>
        <item x="4"/>
        <item x="41"/>
        <item x="50"/>
        <item x="35"/>
        <item x="7"/>
        <item x="14"/>
        <item x="9"/>
        <item x="16"/>
        <item x="8"/>
        <item x="30"/>
        <item x="12"/>
        <item x="60"/>
        <item x="1"/>
        <item x="11"/>
        <item x="36"/>
        <item x="56"/>
        <item x="76"/>
        <item x="0"/>
        <item x="29"/>
        <item x="91"/>
        <item x="73"/>
        <item x="72"/>
        <item x="5"/>
        <item x="79"/>
        <item x="82"/>
        <item x="58"/>
        <item x="77"/>
        <item x="83"/>
        <item x="78"/>
        <item x="64"/>
        <item x="87"/>
        <item x="70"/>
        <item x="86"/>
        <item x="84"/>
        <item x="3"/>
        <item x="74"/>
        <item x="67"/>
        <item x="75"/>
        <item x="93"/>
        <item x="90"/>
        <item x="89"/>
        <item x="80"/>
        <item x="63"/>
        <item x="88"/>
        <item x="81"/>
        <item x="40"/>
        <item x="92"/>
        <item t="avg"/>
      </items>
    </pivotField>
    <pivotField axis="axisRow" showAll="0">
      <items count="27">
        <item x="24"/>
        <item x="5"/>
        <item x="18"/>
        <item x="23"/>
        <item x="14"/>
        <item x="21"/>
        <item x="15"/>
        <item x="25"/>
        <item x="20"/>
        <item x="0"/>
        <item x="3"/>
        <item x="4"/>
        <item x="22"/>
        <item x="10"/>
        <item x="12"/>
        <item x="9"/>
        <item x="6"/>
        <item x="1"/>
        <item x="8"/>
        <item x="11"/>
        <item x="16"/>
        <item x="7"/>
        <item x="2"/>
        <item x="13"/>
        <item x="19"/>
        <item x="17"/>
        <item t="default"/>
      </items>
    </pivotField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4" subtotal="average" baseField="0" baseItem="0"/>
    <dataField name="Average of PRICE" fld="0" subtotal="average" baseField="0" baseItem="0"/>
  </dataFields>
  <formats count="2">
    <format dxfId="1">
      <pivotArea outline="0" collapsedLevelsAreSubtotals="1" fieldPosition="0"/>
    </format>
    <format dxfId="0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2"/>
  <sheetViews>
    <sheetView workbookViewId="0">
      <selection activeCell="J9" sqref="J9"/>
    </sheetView>
  </sheetViews>
  <sheetFormatPr defaultColWidth="8.85546875" defaultRowHeight="15"/>
  <sheetData>
    <row r="1" spans="1:10">
      <c r="A1" s="8" t="s">
        <v>24</v>
      </c>
      <c r="B1" s="8" t="s">
        <v>1</v>
      </c>
      <c r="C1" s="8" t="s">
        <v>2</v>
      </c>
      <c r="D1" s="8" t="s">
        <v>0</v>
      </c>
      <c r="E1" s="8" t="s">
        <v>25</v>
      </c>
      <c r="F1" s="8" t="s">
        <v>3</v>
      </c>
    </row>
    <row r="2" spans="1:10">
      <c r="A2">
        <v>18000</v>
      </c>
      <c r="B2">
        <v>2</v>
      </c>
      <c r="C2">
        <v>2</v>
      </c>
      <c r="D2">
        <v>850</v>
      </c>
      <c r="E2">
        <v>64</v>
      </c>
      <c r="F2">
        <v>27601</v>
      </c>
    </row>
    <row r="3" spans="1:10">
      <c r="A3">
        <v>39900</v>
      </c>
      <c r="B3">
        <v>3</v>
      </c>
      <c r="C3">
        <v>1</v>
      </c>
      <c r="D3">
        <v>1435</v>
      </c>
      <c r="E3">
        <v>59</v>
      </c>
      <c r="F3">
        <v>27610</v>
      </c>
    </row>
    <row r="4" spans="1:10">
      <c r="A4">
        <v>45000</v>
      </c>
      <c r="B4">
        <v>3</v>
      </c>
      <c r="C4">
        <v>2</v>
      </c>
      <c r="D4">
        <v>1120</v>
      </c>
      <c r="E4">
        <v>34</v>
      </c>
      <c r="F4">
        <v>27616</v>
      </c>
      <c r="J4" t="s">
        <v>152</v>
      </c>
    </row>
    <row r="5" spans="1:10">
      <c r="A5">
        <v>46900</v>
      </c>
      <c r="B5">
        <v>2</v>
      </c>
      <c r="C5">
        <v>1</v>
      </c>
      <c r="D5">
        <v>780</v>
      </c>
      <c r="E5">
        <v>89</v>
      </c>
      <c r="F5">
        <v>27610</v>
      </c>
      <c r="J5">
        <f>CORREL(B2:B1022,C2:C1022)</f>
        <v>0.71845439638369002</v>
      </c>
    </row>
    <row r="6" spans="1:10">
      <c r="A6">
        <v>50000</v>
      </c>
      <c r="B6">
        <v>5</v>
      </c>
      <c r="C6">
        <v>2</v>
      </c>
      <c r="D6">
        <v>1950</v>
      </c>
      <c r="E6">
        <v>47</v>
      </c>
      <c r="F6">
        <v>27610</v>
      </c>
    </row>
    <row r="7" spans="1:10">
      <c r="A7">
        <v>54900</v>
      </c>
      <c r="B7">
        <v>2</v>
      </c>
      <c r="C7">
        <v>1.5</v>
      </c>
      <c r="D7">
        <v>1257</v>
      </c>
      <c r="E7">
        <v>59</v>
      </c>
      <c r="F7">
        <v>27610</v>
      </c>
    </row>
    <row r="8" spans="1:10">
      <c r="A8">
        <v>60000</v>
      </c>
      <c r="B8">
        <v>2</v>
      </c>
      <c r="C8">
        <v>1</v>
      </c>
      <c r="D8">
        <v>900</v>
      </c>
      <c r="E8">
        <v>69</v>
      </c>
      <c r="F8">
        <v>27610</v>
      </c>
    </row>
    <row r="9" spans="1:10">
      <c r="A9">
        <v>60000</v>
      </c>
      <c r="B9">
        <v>3</v>
      </c>
      <c r="C9">
        <v>1</v>
      </c>
      <c r="D9">
        <v>975</v>
      </c>
      <c r="E9">
        <v>45</v>
      </c>
      <c r="F9">
        <v>27610</v>
      </c>
    </row>
    <row r="10" spans="1:10">
      <c r="A10">
        <v>65000</v>
      </c>
      <c r="B10">
        <v>3</v>
      </c>
      <c r="C10">
        <v>1</v>
      </c>
      <c r="D10">
        <v>840</v>
      </c>
      <c r="E10">
        <v>51</v>
      </c>
      <c r="F10">
        <v>27601</v>
      </c>
    </row>
    <row r="11" spans="1:10">
      <c r="A11">
        <v>66500</v>
      </c>
      <c r="B11">
        <v>7</v>
      </c>
      <c r="C11">
        <v>3</v>
      </c>
      <c r="D11">
        <v>3348</v>
      </c>
      <c r="E11">
        <v>59</v>
      </c>
      <c r="F11">
        <v>27610</v>
      </c>
    </row>
    <row r="12" spans="1:10">
      <c r="A12">
        <v>68000</v>
      </c>
      <c r="B12">
        <v>3</v>
      </c>
      <c r="C12">
        <v>1</v>
      </c>
      <c r="D12">
        <v>1096</v>
      </c>
      <c r="E12">
        <v>55</v>
      </c>
      <c r="F12">
        <v>27610</v>
      </c>
    </row>
    <row r="13" spans="1:10">
      <c r="A13">
        <v>69000</v>
      </c>
      <c r="B13">
        <v>3</v>
      </c>
      <c r="C13">
        <v>1</v>
      </c>
      <c r="D13">
        <v>1092</v>
      </c>
      <c r="E13">
        <v>53</v>
      </c>
      <c r="F13">
        <v>27610</v>
      </c>
    </row>
    <row r="14" spans="1:10">
      <c r="A14">
        <v>69500</v>
      </c>
      <c r="B14">
        <v>3</v>
      </c>
      <c r="C14">
        <v>1</v>
      </c>
      <c r="D14">
        <v>1088</v>
      </c>
      <c r="E14">
        <v>43</v>
      </c>
      <c r="F14">
        <v>27610</v>
      </c>
    </row>
    <row r="15" spans="1:10">
      <c r="A15">
        <v>70000</v>
      </c>
      <c r="B15">
        <v>3</v>
      </c>
      <c r="C15">
        <v>1.5</v>
      </c>
      <c r="D15">
        <v>1220</v>
      </c>
      <c r="E15">
        <v>60</v>
      </c>
      <c r="F15">
        <v>27610</v>
      </c>
    </row>
    <row r="16" spans="1:10">
      <c r="A16">
        <v>72900</v>
      </c>
      <c r="B16">
        <v>3</v>
      </c>
      <c r="C16">
        <v>1</v>
      </c>
      <c r="D16">
        <v>975</v>
      </c>
      <c r="E16">
        <v>55</v>
      </c>
      <c r="F16">
        <v>27610</v>
      </c>
    </row>
    <row r="17" spans="1:6">
      <c r="A17">
        <v>74900</v>
      </c>
      <c r="B17">
        <v>3</v>
      </c>
      <c r="C17">
        <v>1</v>
      </c>
      <c r="D17">
        <v>1075</v>
      </c>
      <c r="E17">
        <v>57</v>
      </c>
      <c r="F17">
        <v>27610</v>
      </c>
    </row>
    <row r="18" spans="1:6">
      <c r="A18">
        <v>74900</v>
      </c>
      <c r="B18">
        <v>3</v>
      </c>
      <c r="C18">
        <v>2</v>
      </c>
      <c r="D18">
        <v>918</v>
      </c>
      <c r="E18">
        <v>14</v>
      </c>
      <c r="F18">
        <v>27610</v>
      </c>
    </row>
    <row r="19" spans="1:6">
      <c r="A19">
        <v>74900</v>
      </c>
      <c r="B19">
        <v>3</v>
      </c>
      <c r="C19">
        <v>1.5</v>
      </c>
      <c r="D19">
        <v>1180</v>
      </c>
      <c r="E19">
        <v>43</v>
      </c>
      <c r="F19">
        <v>27610</v>
      </c>
    </row>
    <row r="20" spans="1:6">
      <c r="A20">
        <v>74900</v>
      </c>
      <c r="B20">
        <v>3</v>
      </c>
      <c r="C20">
        <v>1</v>
      </c>
      <c r="D20">
        <v>1107</v>
      </c>
      <c r="E20">
        <v>52</v>
      </c>
      <c r="F20">
        <v>27610</v>
      </c>
    </row>
    <row r="21" spans="1:6">
      <c r="A21">
        <v>75000</v>
      </c>
      <c r="B21">
        <v>4</v>
      </c>
      <c r="C21">
        <v>1.5</v>
      </c>
      <c r="D21">
        <v>1320</v>
      </c>
      <c r="E21">
        <v>44</v>
      </c>
      <c r="F21">
        <v>27610</v>
      </c>
    </row>
    <row r="22" spans="1:6">
      <c r="A22">
        <v>76900</v>
      </c>
      <c r="B22">
        <v>3</v>
      </c>
      <c r="C22">
        <v>1</v>
      </c>
      <c r="D22">
        <v>1000</v>
      </c>
      <c r="E22">
        <v>54</v>
      </c>
      <c r="F22">
        <v>27610</v>
      </c>
    </row>
    <row r="23" spans="1:6">
      <c r="A23">
        <v>77000</v>
      </c>
      <c r="B23">
        <v>3</v>
      </c>
      <c r="C23">
        <v>1</v>
      </c>
      <c r="D23">
        <v>975</v>
      </c>
      <c r="E23">
        <v>45</v>
      </c>
      <c r="F23">
        <v>27610</v>
      </c>
    </row>
    <row r="24" spans="1:6">
      <c r="A24">
        <v>77000</v>
      </c>
      <c r="B24">
        <v>3</v>
      </c>
      <c r="C24">
        <v>2</v>
      </c>
      <c r="D24">
        <v>1067</v>
      </c>
      <c r="E24">
        <v>16</v>
      </c>
      <c r="F24">
        <v>27610</v>
      </c>
    </row>
    <row r="25" spans="1:6">
      <c r="A25">
        <v>78900</v>
      </c>
      <c r="B25">
        <v>3</v>
      </c>
      <c r="C25">
        <v>1</v>
      </c>
      <c r="D25">
        <v>975</v>
      </c>
      <c r="E25">
        <v>44</v>
      </c>
      <c r="F25">
        <v>27610</v>
      </c>
    </row>
    <row r="26" spans="1:6">
      <c r="A26">
        <v>79000</v>
      </c>
      <c r="B26">
        <v>3</v>
      </c>
      <c r="C26">
        <v>1.5</v>
      </c>
      <c r="D26">
        <v>1320</v>
      </c>
      <c r="E26">
        <v>45</v>
      </c>
      <c r="F26">
        <v>27610</v>
      </c>
    </row>
    <row r="27" spans="1:6">
      <c r="A27">
        <v>79900</v>
      </c>
      <c r="B27">
        <v>4</v>
      </c>
      <c r="C27">
        <v>1</v>
      </c>
      <c r="D27">
        <v>1080</v>
      </c>
      <c r="E27">
        <v>46</v>
      </c>
      <c r="F27">
        <v>27610</v>
      </c>
    </row>
    <row r="28" spans="1:6">
      <c r="A28">
        <v>79900</v>
      </c>
      <c r="B28">
        <v>8</v>
      </c>
      <c r="C28">
        <v>4</v>
      </c>
      <c r="D28">
        <v>2280</v>
      </c>
      <c r="E28">
        <v>54</v>
      </c>
      <c r="F28">
        <v>27610</v>
      </c>
    </row>
    <row r="29" spans="1:6">
      <c r="A29">
        <v>80000</v>
      </c>
      <c r="B29">
        <v>2</v>
      </c>
      <c r="C29">
        <v>1</v>
      </c>
      <c r="D29">
        <v>991</v>
      </c>
      <c r="E29">
        <v>29</v>
      </c>
      <c r="F29">
        <v>27603</v>
      </c>
    </row>
    <row r="30" spans="1:6">
      <c r="A30">
        <v>81900</v>
      </c>
      <c r="B30">
        <v>3</v>
      </c>
      <c r="C30">
        <v>1.5</v>
      </c>
      <c r="D30">
        <v>1090</v>
      </c>
      <c r="E30">
        <v>36</v>
      </c>
      <c r="F30">
        <v>27610</v>
      </c>
    </row>
    <row r="31" spans="1:6">
      <c r="A31">
        <v>84500</v>
      </c>
      <c r="B31">
        <v>3</v>
      </c>
      <c r="C31">
        <v>1.5</v>
      </c>
      <c r="D31">
        <v>1000</v>
      </c>
      <c r="E31">
        <v>45</v>
      </c>
      <c r="F31">
        <v>27610</v>
      </c>
    </row>
    <row r="32" spans="1:6">
      <c r="A32">
        <v>84900</v>
      </c>
      <c r="B32">
        <v>4</v>
      </c>
      <c r="C32">
        <v>3</v>
      </c>
      <c r="D32">
        <v>2478</v>
      </c>
      <c r="E32">
        <v>30</v>
      </c>
      <c r="F32">
        <v>27610</v>
      </c>
    </row>
    <row r="33" spans="1:6">
      <c r="A33">
        <v>89900</v>
      </c>
      <c r="B33">
        <v>2</v>
      </c>
      <c r="C33">
        <v>1</v>
      </c>
      <c r="D33">
        <v>1468</v>
      </c>
      <c r="E33">
        <v>55</v>
      </c>
      <c r="F33">
        <v>27610</v>
      </c>
    </row>
    <row r="34" spans="1:6">
      <c r="A34">
        <v>91000</v>
      </c>
      <c r="B34">
        <v>3</v>
      </c>
      <c r="C34">
        <v>2.5</v>
      </c>
      <c r="D34">
        <v>1225</v>
      </c>
      <c r="E34">
        <v>22</v>
      </c>
      <c r="F34">
        <v>27616</v>
      </c>
    </row>
    <row r="35" spans="1:6">
      <c r="A35">
        <v>91000</v>
      </c>
      <c r="B35">
        <v>3</v>
      </c>
      <c r="C35">
        <v>2</v>
      </c>
      <c r="D35">
        <v>1212</v>
      </c>
      <c r="E35">
        <v>17</v>
      </c>
      <c r="F35">
        <v>27610</v>
      </c>
    </row>
    <row r="36" spans="1:6">
      <c r="A36">
        <v>92000</v>
      </c>
      <c r="B36">
        <v>3</v>
      </c>
      <c r="C36">
        <v>2</v>
      </c>
      <c r="D36">
        <v>1215</v>
      </c>
      <c r="E36">
        <v>14</v>
      </c>
      <c r="F36">
        <v>27616</v>
      </c>
    </row>
    <row r="37" spans="1:6">
      <c r="A37">
        <v>93000</v>
      </c>
      <c r="B37">
        <v>3</v>
      </c>
      <c r="C37">
        <v>2.5</v>
      </c>
      <c r="D37">
        <v>1548</v>
      </c>
      <c r="E37">
        <v>27</v>
      </c>
      <c r="F37">
        <v>27610</v>
      </c>
    </row>
    <row r="38" spans="1:6">
      <c r="A38">
        <v>95000</v>
      </c>
      <c r="B38">
        <v>1</v>
      </c>
      <c r="C38">
        <v>1</v>
      </c>
      <c r="D38">
        <v>648</v>
      </c>
      <c r="E38">
        <v>53</v>
      </c>
      <c r="F38">
        <v>27610</v>
      </c>
    </row>
    <row r="39" spans="1:6">
      <c r="A39">
        <v>97500</v>
      </c>
      <c r="B39">
        <v>3</v>
      </c>
      <c r="C39">
        <v>2.5</v>
      </c>
      <c r="D39">
        <v>1700</v>
      </c>
      <c r="E39">
        <v>20</v>
      </c>
      <c r="F39">
        <v>27610</v>
      </c>
    </row>
    <row r="40" spans="1:6">
      <c r="A40">
        <v>99900</v>
      </c>
      <c r="B40">
        <v>3</v>
      </c>
      <c r="C40">
        <v>2</v>
      </c>
      <c r="D40">
        <v>1192</v>
      </c>
      <c r="E40">
        <v>25</v>
      </c>
      <c r="F40">
        <v>27616</v>
      </c>
    </row>
    <row r="41" spans="1:6">
      <c r="A41">
        <v>99900</v>
      </c>
      <c r="B41">
        <v>2</v>
      </c>
      <c r="C41">
        <v>2</v>
      </c>
      <c r="D41">
        <v>980</v>
      </c>
      <c r="E41">
        <v>13</v>
      </c>
      <c r="F41">
        <v>27610</v>
      </c>
    </row>
    <row r="42" spans="1:6">
      <c r="A42">
        <v>99900</v>
      </c>
      <c r="B42">
        <v>3</v>
      </c>
      <c r="C42">
        <v>2.5</v>
      </c>
      <c r="D42">
        <v>1866</v>
      </c>
      <c r="E42">
        <v>21</v>
      </c>
      <c r="F42">
        <v>27604</v>
      </c>
    </row>
    <row r="43" spans="1:6">
      <c r="A43">
        <v>99900</v>
      </c>
      <c r="B43">
        <v>4</v>
      </c>
      <c r="C43">
        <v>2.5</v>
      </c>
      <c r="D43">
        <v>2293</v>
      </c>
      <c r="E43">
        <v>47</v>
      </c>
      <c r="F43">
        <v>27604</v>
      </c>
    </row>
    <row r="44" spans="1:6">
      <c r="A44">
        <v>99900</v>
      </c>
      <c r="B44">
        <v>3</v>
      </c>
      <c r="C44">
        <v>1.5</v>
      </c>
      <c r="D44">
        <v>1641</v>
      </c>
      <c r="E44">
        <v>46</v>
      </c>
      <c r="F44">
        <v>27610</v>
      </c>
    </row>
    <row r="45" spans="1:6">
      <c r="A45">
        <v>100000</v>
      </c>
      <c r="B45">
        <v>3</v>
      </c>
      <c r="C45">
        <v>2</v>
      </c>
      <c r="D45">
        <v>1520</v>
      </c>
      <c r="E45">
        <v>65</v>
      </c>
      <c r="F45">
        <v>27610</v>
      </c>
    </row>
    <row r="46" spans="1:6">
      <c r="A46">
        <v>100000</v>
      </c>
      <c r="B46">
        <v>3</v>
      </c>
      <c r="C46">
        <v>2</v>
      </c>
      <c r="D46">
        <v>1500</v>
      </c>
      <c r="E46">
        <v>56</v>
      </c>
      <c r="F46">
        <v>27526</v>
      </c>
    </row>
    <row r="47" spans="1:6">
      <c r="A47">
        <v>104000</v>
      </c>
      <c r="B47">
        <v>3</v>
      </c>
      <c r="C47">
        <v>2</v>
      </c>
      <c r="D47">
        <v>1153</v>
      </c>
      <c r="E47">
        <v>12</v>
      </c>
      <c r="F47">
        <v>27610</v>
      </c>
    </row>
    <row r="48" spans="1:6">
      <c r="A48">
        <v>105000</v>
      </c>
      <c r="B48">
        <v>2</v>
      </c>
      <c r="C48">
        <v>2</v>
      </c>
      <c r="D48">
        <v>1184</v>
      </c>
      <c r="E48">
        <v>16</v>
      </c>
      <c r="F48">
        <v>27604</v>
      </c>
    </row>
    <row r="49" spans="1:6">
      <c r="A49">
        <v>105000</v>
      </c>
      <c r="B49">
        <v>3</v>
      </c>
      <c r="C49">
        <v>2.5</v>
      </c>
      <c r="D49">
        <v>1360</v>
      </c>
      <c r="E49">
        <v>12</v>
      </c>
      <c r="F49">
        <v>27610</v>
      </c>
    </row>
    <row r="50" spans="1:6">
      <c r="A50">
        <v>105000</v>
      </c>
      <c r="B50">
        <v>3</v>
      </c>
      <c r="C50">
        <v>2.5</v>
      </c>
      <c r="D50">
        <v>1091</v>
      </c>
      <c r="E50">
        <v>11</v>
      </c>
      <c r="F50">
        <v>27616</v>
      </c>
    </row>
    <row r="51" spans="1:6">
      <c r="A51">
        <v>108500</v>
      </c>
      <c r="B51">
        <v>4</v>
      </c>
      <c r="C51">
        <v>3</v>
      </c>
      <c r="D51">
        <v>1463</v>
      </c>
      <c r="E51">
        <v>12</v>
      </c>
      <c r="F51">
        <v>27616</v>
      </c>
    </row>
    <row r="52" spans="1:6">
      <c r="A52">
        <v>108800</v>
      </c>
      <c r="B52">
        <v>3</v>
      </c>
      <c r="C52">
        <v>2</v>
      </c>
      <c r="D52">
        <v>1300</v>
      </c>
      <c r="E52">
        <v>14</v>
      </c>
      <c r="F52">
        <v>27610</v>
      </c>
    </row>
    <row r="53" spans="1:6">
      <c r="A53">
        <v>109000</v>
      </c>
      <c r="B53">
        <v>3</v>
      </c>
      <c r="C53">
        <v>2</v>
      </c>
      <c r="D53">
        <v>1357</v>
      </c>
      <c r="E53">
        <v>11</v>
      </c>
      <c r="F53">
        <v>27610</v>
      </c>
    </row>
    <row r="54" spans="1:6">
      <c r="A54">
        <v>109500</v>
      </c>
      <c r="B54">
        <v>3</v>
      </c>
      <c r="C54">
        <v>2</v>
      </c>
      <c r="D54">
        <v>1153</v>
      </c>
      <c r="E54">
        <v>17</v>
      </c>
      <c r="F54">
        <v>27610</v>
      </c>
    </row>
    <row r="55" spans="1:6">
      <c r="A55">
        <v>109900</v>
      </c>
      <c r="B55">
        <v>3</v>
      </c>
      <c r="C55">
        <v>2</v>
      </c>
      <c r="D55">
        <v>1150</v>
      </c>
      <c r="E55">
        <v>12</v>
      </c>
      <c r="F55">
        <v>27610</v>
      </c>
    </row>
    <row r="56" spans="1:6">
      <c r="A56">
        <v>109900</v>
      </c>
      <c r="B56">
        <v>2</v>
      </c>
      <c r="C56">
        <v>1</v>
      </c>
      <c r="D56">
        <v>902</v>
      </c>
      <c r="E56">
        <v>59</v>
      </c>
      <c r="F56">
        <v>27603</v>
      </c>
    </row>
    <row r="57" spans="1:6">
      <c r="A57">
        <v>109900</v>
      </c>
      <c r="B57">
        <v>3</v>
      </c>
      <c r="C57">
        <v>1</v>
      </c>
      <c r="D57">
        <v>1012</v>
      </c>
      <c r="E57">
        <v>59</v>
      </c>
      <c r="F57">
        <v>27610</v>
      </c>
    </row>
    <row r="58" spans="1:6">
      <c r="A58">
        <v>109900</v>
      </c>
      <c r="B58">
        <v>2</v>
      </c>
      <c r="C58">
        <v>2</v>
      </c>
      <c r="D58">
        <v>1232</v>
      </c>
      <c r="E58">
        <v>28</v>
      </c>
      <c r="F58">
        <v>27604</v>
      </c>
    </row>
    <row r="59" spans="1:6">
      <c r="A59">
        <v>109990</v>
      </c>
      <c r="B59">
        <v>3</v>
      </c>
      <c r="C59">
        <v>2</v>
      </c>
      <c r="D59">
        <v>1300</v>
      </c>
      <c r="E59">
        <v>0</v>
      </c>
      <c r="F59">
        <v>27610</v>
      </c>
    </row>
    <row r="60" spans="1:6">
      <c r="A60">
        <v>110000</v>
      </c>
      <c r="B60">
        <v>3</v>
      </c>
      <c r="C60">
        <v>1.5</v>
      </c>
      <c r="D60">
        <v>1554</v>
      </c>
      <c r="E60">
        <v>51</v>
      </c>
      <c r="F60">
        <v>27610</v>
      </c>
    </row>
    <row r="61" spans="1:6">
      <c r="A61">
        <v>110000</v>
      </c>
      <c r="B61">
        <v>3</v>
      </c>
      <c r="C61">
        <v>2</v>
      </c>
      <c r="D61">
        <v>1210</v>
      </c>
      <c r="E61">
        <v>11</v>
      </c>
      <c r="F61">
        <v>27610</v>
      </c>
    </row>
    <row r="62" spans="1:6">
      <c r="A62">
        <v>110000</v>
      </c>
      <c r="B62">
        <v>4</v>
      </c>
      <c r="C62">
        <v>2</v>
      </c>
      <c r="D62">
        <v>2332</v>
      </c>
      <c r="E62">
        <v>50</v>
      </c>
      <c r="F62">
        <v>27610</v>
      </c>
    </row>
    <row r="63" spans="1:6">
      <c r="A63">
        <v>110000</v>
      </c>
      <c r="B63">
        <v>3</v>
      </c>
      <c r="C63">
        <v>2</v>
      </c>
      <c r="D63">
        <v>1346</v>
      </c>
      <c r="E63">
        <v>27</v>
      </c>
      <c r="F63">
        <v>27610</v>
      </c>
    </row>
    <row r="64" spans="1:6">
      <c r="A64">
        <v>112140</v>
      </c>
      <c r="B64">
        <v>3</v>
      </c>
      <c r="C64">
        <v>2.5</v>
      </c>
      <c r="D64">
        <v>1220</v>
      </c>
      <c r="E64">
        <v>0</v>
      </c>
      <c r="F64">
        <v>27610</v>
      </c>
    </row>
    <row r="65" spans="1:6">
      <c r="A65">
        <v>112900</v>
      </c>
      <c r="B65">
        <v>3</v>
      </c>
      <c r="C65">
        <v>2</v>
      </c>
      <c r="D65">
        <v>1152</v>
      </c>
      <c r="E65">
        <v>21</v>
      </c>
      <c r="F65">
        <v>27616</v>
      </c>
    </row>
    <row r="66" spans="1:6">
      <c r="A66">
        <v>112900</v>
      </c>
      <c r="B66">
        <v>2</v>
      </c>
      <c r="C66">
        <v>1</v>
      </c>
      <c r="D66">
        <v>1000</v>
      </c>
      <c r="E66">
        <v>55</v>
      </c>
      <c r="F66">
        <v>27609</v>
      </c>
    </row>
    <row r="67" spans="1:6">
      <c r="A67">
        <v>113000</v>
      </c>
      <c r="B67">
        <v>3</v>
      </c>
      <c r="C67">
        <v>2</v>
      </c>
      <c r="D67">
        <v>1132</v>
      </c>
      <c r="E67">
        <v>21</v>
      </c>
      <c r="F67">
        <v>27616</v>
      </c>
    </row>
    <row r="68" spans="1:6">
      <c r="A68">
        <v>113900</v>
      </c>
      <c r="B68">
        <v>3</v>
      </c>
      <c r="C68">
        <v>3</v>
      </c>
      <c r="D68">
        <v>1300</v>
      </c>
      <c r="E68">
        <v>29</v>
      </c>
      <c r="F68">
        <v>27616</v>
      </c>
    </row>
    <row r="69" spans="1:6">
      <c r="A69">
        <v>114000</v>
      </c>
      <c r="B69">
        <v>2</v>
      </c>
      <c r="C69">
        <v>1</v>
      </c>
      <c r="D69">
        <v>762</v>
      </c>
      <c r="E69">
        <v>64</v>
      </c>
      <c r="F69">
        <v>27601</v>
      </c>
    </row>
    <row r="70" spans="1:6">
      <c r="A70">
        <v>114900</v>
      </c>
      <c r="B70">
        <v>3</v>
      </c>
      <c r="C70">
        <v>2</v>
      </c>
      <c r="D70">
        <v>1230</v>
      </c>
      <c r="E70">
        <v>16</v>
      </c>
      <c r="F70">
        <v>27616</v>
      </c>
    </row>
    <row r="71" spans="1:6">
      <c r="A71">
        <v>114900</v>
      </c>
      <c r="B71">
        <v>3</v>
      </c>
      <c r="C71">
        <v>2.5</v>
      </c>
      <c r="D71">
        <v>1703</v>
      </c>
      <c r="E71">
        <v>28</v>
      </c>
      <c r="F71">
        <v>27610</v>
      </c>
    </row>
    <row r="72" spans="1:6">
      <c r="A72">
        <v>115000</v>
      </c>
      <c r="B72">
        <v>3</v>
      </c>
      <c r="C72">
        <v>1</v>
      </c>
      <c r="D72">
        <v>1000</v>
      </c>
      <c r="E72">
        <v>61</v>
      </c>
      <c r="F72">
        <v>27610</v>
      </c>
    </row>
    <row r="73" spans="1:6">
      <c r="A73">
        <v>115000</v>
      </c>
      <c r="B73">
        <v>4</v>
      </c>
      <c r="C73">
        <v>2</v>
      </c>
      <c r="D73">
        <v>1672</v>
      </c>
      <c r="E73">
        <v>47</v>
      </c>
      <c r="F73">
        <v>27610</v>
      </c>
    </row>
    <row r="74" spans="1:6">
      <c r="A74">
        <v>115000</v>
      </c>
      <c r="B74">
        <v>3</v>
      </c>
      <c r="C74">
        <v>1.5</v>
      </c>
      <c r="D74">
        <v>1352</v>
      </c>
      <c r="E74">
        <v>42</v>
      </c>
      <c r="F74">
        <v>27616</v>
      </c>
    </row>
    <row r="75" spans="1:6">
      <c r="A75">
        <v>115000</v>
      </c>
      <c r="B75">
        <v>3</v>
      </c>
      <c r="C75">
        <v>2</v>
      </c>
      <c r="D75">
        <v>1172</v>
      </c>
      <c r="E75">
        <v>11</v>
      </c>
      <c r="F75">
        <v>27610</v>
      </c>
    </row>
    <row r="76" spans="1:6">
      <c r="A76">
        <v>115000</v>
      </c>
      <c r="B76">
        <v>3</v>
      </c>
      <c r="C76">
        <v>2</v>
      </c>
      <c r="D76">
        <v>1200</v>
      </c>
      <c r="E76">
        <v>18</v>
      </c>
      <c r="F76">
        <v>27610</v>
      </c>
    </row>
    <row r="77" spans="1:6">
      <c r="A77">
        <v>116500</v>
      </c>
      <c r="B77">
        <v>3</v>
      </c>
      <c r="C77">
        <v>2</v>
      </c>
      <c r="D77">
        <v>1399</v>
      </c>
      <c r="E77">
        <v>13</v>
      </c>
      <c r="F77">
        <v>27610</v>
      </c>
    </row>
    <row r="78" spans="1:6">
      <c r="A78">
        <v>117000</v>
      </c>
      <c r="B78">
        <v>3</v>
      </c>
      <c r="C78">
        <v>2.5</v>
      </c>
      <c r="D78">
        <v>1238</v>
      </c>
      <c r="E78">
        <v>13</v>
      </c>
      <c r="F78">
        <v>27616</v>
      </c>
    </row>
    <row r="79" spans="1:6">
      <c r="A79">
        <v>117000</v>
      </c>
      <c r="B79">
        <v>3</v>
      </c>
      <c r="C79">
        <v>2.5</v>
      </c>
      <c r="D79">
        <v>1424</v>
      </c>
      <c r="E79">
        <v>29</v>
      </c>
      <c r="F79">
        <v>27604</v>
      </c>
    </row>
    <row r="80" spans="1:6">
      <c r="A80">
        <v>118000</v>
      </c>
      <c r="B80">
        <v>3</v>
      </c>
      <c r="C80">
        <v>2</v>
      </c>
      <c r="D80">
        <v>1235</v>
      </c>
      <c r="E80">
        <v>24</v>
      </c>
      <c r="F80">
        <v>27604</v>
      </c>
    </row>
    <row r="81" spans="1:6">
      <c r="A81">
        <v>118000</v>
      </c>
      <c r="B81">
        <v>3</v>
      </c>
      <c r="C81">
        <v>2</v>
      </c>
      <c r="D81">
        <v>1221</v>
      </c>
      <c r="E81">
        <v>18</v>
      </c>
      <c r="F81">
        <v>27610</v>
      </c>
    </row>
    <row r="82" spans="1:6">
      <c r="A82">
        <v>119000</v>
      </c>
      <c r="B82">
        <v>3</v>
      </c>
      <c r="C82">
        <v>2</v>
      </c>
      <c r="D82">
        <v>1269</v>
      </c>
      <c r="E82">
        <v>13</v>
      </c>
      <c r="F82">
        <v>27610</v>
      </c>
    </row>
    <row r="83" spans="1:6">
      <c r="A83">
        <v>119500</v>
      </c>
      <c r="B83">
        <v>3</v>
      </c>
      <c r="C83">
        <v>1.5</v>
      </c>
      <c r="D83">
        <v>1300</v>
      </c>
      <c r="E83">
        <v>34</v>
      </c>
      <c r="F83">
        <v>27610</v>
      </c>
    </row>
    <row r="84" spans="1:6">
      <c r="A84">
        <v>119500</v>
      </c>
      <c r="B84">
        <v>3</v>
      </c>
      <c r="C84">
        <v>2</v>
      </c>
      <c r="D84">
        <v>1232</v>
      </c>
      <c r="E84">
        <v>130</v>
      </c>
      <c r="F84">
        <v>27616</v>
      </c>
    </row>
    <row r="85" spans="1:6">
      <c r="A85">
        <v>119750</v>
      </c>
      <c r="B85">
        <v>3</v>
      </c>
      <c r="C85">
        <v>2.5</v>
      </c>
      <c r="D85">
        <v>1327</v>
      </c>
      <c r="E85">
        <v>24</v>
      </c>
      <c r="F85">
        <v>27604</v>
      </c>
    </row>
    <row r="86" spans="1:6">
      <c r="A86">
        <v>119900</v>
      </c>
      <c r="B86">
        <v>3</v>
      </c>
      <c r="C86">
        <v>2</v>
      </c>
      <c r="D86">
        <v>1560</v>
      </c>
      <c r="E86">
        <v>48</v>
      </c>
      <c r="F86">
        <v>27604</v>
      </c>
    </row>
    <row r="87" spans="1:6">
      <c r="A87">
        <v>119900</v>
      </c>
      <c r="B87">
        <v>3</v>
      </c>
      <c r="C87">
        <v>2</v>
      </c>
      <c r="D87">
        <v>1310</v>
      </c>
      <c r="E87">
        <v>17</v>
      </c>
      <c r="F87">
        <v>27610</v>
      </c>
    </row>
    <row r="88" spans="1:6">
      <c r="A88">
        <v>119900</v>
      </c>
      <c r="B88">
        <v>3</v>
      </c>
      <c r="C88">
        <v>2</v>
      </c>
      <c r="D88">
        <v>1237</v>
      </c>
      <c r="E88">
        <v>32</v>
      </c>
      <c r="F88">
        <v>27604</v>
      </c>
    </row>
    <row r="89" spans="1:6">
      <c r="A89">
        <v>119900</v>
      </c>
      <c r="B89">
        <v>4</v>
      </c>
      <c r="C89">
        <v>2.5</v>
      </c>
      <c r="D89">
        <v>2133</v>
      </c>
      <c r="E89">
        <v>7</v>
      </c>
      <c r="F89">
        <v>27610</v>
      </c>
    </row>
    <row r="90" spans="1:6">
      <c r="A90">
        <v>119990</v>
      </c>
      <c r="B90">
        <v>3</v>
      </c>
      <c r="C90">
        <v>2</v>
      </c>
      <c r="D90">
        <v>1513</v>
      </c>
      <c r="E90">
        <v>0</v>
      </c>
      <c r="F90">
        <v>27610</v>
      </c>
    </row>
    <row r="91" spans="1:6">
      <c r="A91">
        <v>120000</v>
      </c>
      <c r="B91">
        <v>3</v>
      </c>
      <c r="C91">
        <v>2.5</v>
      </c>
      <c r="D91">
        <v>1350</v>
      </c>
      <c r="E91">
        <v>14</v>
      </c>
      <c r="F91">
        <v>27616</v>
      </c>
    </row>
    <row r="92" spans="1:6">
      <c r="A92">
        <v>120000</v>
      </c>
      <c r="B92">
        <v>3</v>
      </c>
      <c r="C92">
        <v>2</v>
      </c>
      <c r="D92">
        <v>1350</v>
      </c>
      <c r="E92">
        <v>27</v>
      </c>
      <c r="F92">
        <v>27616</v>
      </c>
    </row>
    <row r="93" spans="1:6">
      <c r="A93">
        <v>120000</v>
      </c>
      <c r="B93">
        <v>3</v>
      </c>
      <c r="C93">
        <v>2</v>
      </c>
      <c r="D93">
        <v>1186</v>
      </c>
      <c r="E93">
        <v>17</v>
      </c>
      <c r="F93">
        <v>27610</v>
      </c>
    </row>
    <row r="94" spans="1:6">
      <c r="A94">
        <v>121040</v>
      </c>
      <c r="B94">
        <v>3</v>
      </c>
      <c r="C94">
        <v>2.5</v>
      </c>
      <c r="D94">
        <v>1327</v>
      </c>
      <c r="E94">
        <v>0</v>
      </c>
      <c r="F94">
        <v>27610</v>
      </c>
    </row>
    <row r="95" spans="1:6">
      <c r="A95">
        <v>121280</v>
      </c>
      <c r="B95">
        <v>3</v>
      </c>
      <c r="C95">
        <v>2.5</v>
      </c>
      <c r="D95">
        <v>1437</v>
      </c>
      <c r="E95">
        <v>0</v>
      </c>
      <c r="F95">
        <v>27610</v>
      </c>
    </row>
    <row r="96" spans="1:6">
      <c r="A96">
        <v>121997</v>
      </c>
      <c r="B96">
        <v>3</v>
      </c>
      <c r="C96">
        <v>2</v>
      </c>
      <c r="D96">
        <v>1306</v>
      </c>
      <c r="E96">
        <v>36</v>
      </c>
      <c r="F96">
        <v>27616</v>
      </c>
    </row>
    <row r="97" spans="1:6">
      <c r="A97">
        <v>122340</v>
      </c>
      <c r="B97">
        <v>3</v>
      </c>
      <c r="C97">
        <v>2.5</v>
      </c>
      <c r="D97">
        <v>1437</v>
      </c>
      <c r="E97">
        <v>0</v>
      </c>
      <c r="F97">
        <v>27610</v>
      </c>
    </row>
    <row r="98" spans="1:6">
      <c r="A98">
        <v>122590</v>
      </c>
      <c r="B98">
        <v>3</v>
      </c>
      <c r="C98">
        <v>2.5</v>
      </c>
      <c r="D98">
        <v>1601</v>
      </c>
      <c r="E98">
        <v>0</v>
      </c>
      <c r="F98">
        <v>27610</v>
      </c>
    </row>
    <row r="99" spans="1:6">
      <c r="A99">
        <v>122900</v>
      </c>
      <c r="B99">
        <v>3</v>
      </c>
      <c r="C99">
        <v>2.5</v>
      </c>
      <c r="D99">
        <v>1615</v>
      </c>
      <c r="E99">
        <v>9</v>
      </c>
      <c r="F99">
        <v>27610</v>
      </c>
    </row>
    <row r="100" spans="1:6">
      <c r="A100">
        <v>124000</v>
      </c>
      <c r="B100">
        <v>3</v>
      </c>
      <c r="C100">
        <v>2</v>
      </c>
      <c r="D100">
        <v>1309</v>
      </c>
      <c r="E100">
        <v>59</v>
      </c>
      <c r="F100">
        <v>27603</v>
      </c>
    </row>
    <row r="101" spans="1:6">
      <c r="A101">
        <v>124500</v>
      </c>
      <c r="B101">
        <v>3</v>
      </c>
      <c r="C101">
        <v>2</v>
      </c>
      <c r="D101">
        <v>1008</v>
      </c>
      <c r="E101">
        <v>17</v>
      </c>
      <c r="F101">
        <v>27610</v>
      </c>
    </row>
    <row r="102" spans="1:6">
      <c r="A102">
        <v>124640</v>
      </c>
      <c r="B102">
        <v>3</v>
      </c>
      <c r="C102">
        <v>2.5</v>
      </c>
      <c r="D102">
        <v>1507</v>
      </c>
      <c r="E102">
        <v>0</v>
      </c>
      <c r="F102">
        <v>27610</v>
      </c>
    </row>
    <row r="103" spans="1:6">
      <c r="A103">
        <v>124900</v>
      </c>
      <c r="B103">
        <v>3</v>
      </c>
      <c r="C103">
        <v>1.5</v>
      </c>
      <c r="D103">
        <v>1555</v>
      </c>
      <c r="E103">
        <v>51</v>
      </c>
      <c r="F103">
        <v>27610</v>
      </c>
    </row>
    <row r="104" spans="1:6">
      <c r="A104">
        <v>124900</v>
      </c>
      <c r="B104">
        <v>3</v>
      </c>
      <c r="C104">
        <v>2.5</v>
      </c>
      <c r="D104">
        <v>1539</v>
      </c>
      <c r="E104">
        <v>11</v>
      </c>
      <c r="F104">
        <v>27604</v>
      </c>
    </row>
    <row r="105" spans="1:6">
      <c r="A105">
        <v>124900</v>
      </c>
      <c r="B105">
        <v>2</v>
      </c>
      <c r="C105">
        <v>2.5</v>
      </c>
      <c r="D105">
        <v>1432</v>
      </c>
      <c r="E105">
        <v>35</v>
      </c>
      <c r="F105">
        <v>27609</v>
      </c>
    </row>
    <row r="106" spans="1:6">
      <c r="A106">
        <v>124900</v>
      </c>
      <c r="B106">
        <v>3</v>
      </c>
      <c r="C106">
        <v>2</v>
      </c>
      <c r="D106">
        <v>1200</v>
      </c>
      <c r="E106">
        <v>19</v>
      </c>
      <c r="F106">
        <v>27604</v>
      </c>
    </row>
    <row r="107" spans="1:6">
      <c r="A107">
        <v>124990</v>
      </c>
      <c r="B107">
        <v>3</v>
      </c>
      <c r="C107">
        <v>2</v>
      </c>
      <c r="D107">
        <v>1242</v>
      </c>
      <c r="E107">
        <v>1</v>
      </c>
      <c r="F107">
        <v>27610</v>
      </c>
    </row>
    <row r="108" spans="1:6">
      <c r="A108">
        <v>124990</v>
      </c>
      <c r="B108">
        <v>3</v>
      </c>
      <c r="C108">
        <v>2</v>
      </c>
      <c r="D108">
        <v>1288</v>
      </c>
      <c r="E108">
        <v>1</v>
      </c>
      <c r="F108">
        <v>27610</v>
      </c>
    </row>
    <row r="109" spans="1:6">
      <c r="A109">
        <v>125000</v>
      </c>
      <c r="B109">
        <v>3</v>
      </c>
      <c r="C109">
        <v>1</v>
      </c>
      <c r="D109">
        <v>1196</v>
      </c>
      <c r="E109">
        <v>53</v>
      </c>
      <c r="F109">
        <v>27610</v>
      </c>
    </row>
    <row r="110" spans="1:6">
      <c r="A110">
        <v>125000</v>
      </c>
      <c r="B110">
        <v>3</v>
      </c>
      <c r="C110">
        <v>2</v>
      </c>
      <c r="D110">
        <v>1092</v>
      </c>
      <c r="E110">
        <v>43</v>
      </c>
      <c r="F110">
        <v>27616</v>
      </c>
    </row>
    <row r="111" spans="1:6">
      <c r="A111">
        <v>125000</v>
      </c>
      <c r="B111">
        <v>3</v>
      </c>
      <c r="C111">
        <v>2</v>
      </c>
      <c r="D111">
        <v>1200</v>
      </c>
      <c r="E111">
        <v>16</v>
      </c>
      <c r="F111">
        <v>27604</v>
      </c>
    </row>
    <row r="112" spans="1:6">
      <c r="A112">
        <v>125000</v>
      </c>
      <c r="B112">
        <v>3</v>
      </c>
      <c r="C112">
        <v>2</v>
      </c>
      <c r="D112">
        <v>1246</v>
      </c>
      <c r="E112">
        <v>16</v>
      </c>
      <c r="F112">
        <v>27604</v>
      </c>
    </row>
    <row r="113" spans="1:6">
      <c r="A113">
        <v>125390</v>
      </c>
      <c r="B113">
        <v>3</v>
      </c>
      <c r="C113">
        <v>2.5</v>
      </c>
      <c r="D113">
        <v>1507</v>
      </c>
      <c r="E113">
        <v>0</v>
      </c>
      <c r="F113">
        <v>27610</v>
      </c>
    </row>
    <row r="114" spans="1:6">
      <c r="A114">
        <v>126500</v>
      </c>
      <c r="B114">
        <v>3</v>
      </c>
      <c r="C114">
        <v>2.5</v>
      </c>
      <c r="D114">
        <v>1375</v>
      </c>
      <c r="E114">
        <v>28</v>
      </c>
      <c r="F114">
        <v>27604</v>
      </c>
    </row>
    <row r="115" spans="1:6">
      <c r="A115">
        <v>127000</v>
      </c>
      <c r="B115">
        <v>3</v>
      </c>
      <c r="C115">
        <v>2</v>
      </c>
      <c r="D115">
        <v>1111</v>
      </c>
      <c r="E115">
        <v>16</v>
      </c>
      <c r="F115">
        <v>27616</v>
      </c>
    </row>
    <row r="116" spans="1:6">
      <c r="A116">
        <v>129000</v>
      </c>
      <c r="B116">
        <v>3</v>
      </c>
      <c r="C116">
        <v>1.5</v>
      </c>
      <c r="D116">
        <v>1026</v>
      </c>
      <c r="E116">
        <v>32</v>
      </c>
      <c r="F116">
        <v>27615</v>
      </c>
    </row>
    <row r="117" spans="1:6">
      <c r="A117">
        <v>129190</v>
      </c>
      <c r="B117">
        <v>3</v>
      </c>
      <c r="C117">
        <v>2.5</v>
      </c>
      <c r="D117">
        <v>1507</v>
      </c>
      <c r="E117">
        <v>1</v>
      </c>
      <c r="F117">
        <v>27610</v>
      </c>
    </row>
    <row r="118" spans="1:6">
      <c r="A118">
        <v>129422</v>
      </c>
      <c r="B118">
        <v>3</v>
      </c>
      <c r="C118">
        <v>2.5</v>
      </c>
      <c r="D118">
        <v>1569</v>
      </c>
      <c r="E118">
        <v>0</v>
      </c>
      <c r="F118">
        <v>27610</v>
      </c>
    </row>
    <row r="119" spans="1:6">
      <c r="A119">
        <v>129422</v>
      </c>
      <c r="B119">
        <v>3</v>
      </c>
      <c r="C119">
        <v>2.5</v>
      </c>
      <c r="D119">
        <v>1569</v>
      </c>
      <c r="E119">
        <v>0</v>
      </c>
      <c r="F119">
        <v>27610</v>
      </c>
    </row>
    <row r="120" spans="1:6">
      <c r="A120">
        <v>129900</v>
      </c>
      <c r="B120">
        <v>3</v>
      </c>
      <c r="C120">
        <v>2</v>
      </c>
      <c r="D120">
        <v>1091</v>
      </c>
      <c r="E120">
        <v>34</v>
      </c>
      <c r="F120">
        <v>27610</v>
      </c>
    </row>
    <row r="121" spans="1:6">
      <c r="A121">
        <v>129900</v>
      </c>
      <c r="B121">
        <v>3</v>
      </c>
      <c r="C121">
        <v>1.5</v>
      </c>
      <c r="D121">
        <v>1239</v>
      </c>
      <c r="E121">
        <v>51</v>
      </c>
      <c r="F121">
        <v>27604</v>
      </c>
    </row>
    <row r="122" spans="1:6">
      <c r="A122">
        <v>129900</v>
      </c>
      <c r="B122">
        <v>3</v>
      </c>
      <c r="C122">
        <v>2</v>
      </c>
      <c r="D122">
        <v>1461</v>
      </c>
      <c r="E122">
        <v>50</v>
      </c>
      <c r="F122">
        <v>27604</v>
      </c>
    </row>
    <row r="123" spans="1:6">
      <c r="A123">
        <v>129990</v>
      </c>
      <c r="B123">
        <v>3</v>
      </c>
      <c r="C123">
        <v>2.5</v>
      </c>
      <c r="D123">
        <v>1507</v>
      </c>
      <c r="E123">
        <v>0</v>
      </c>
      <c r="F123">
        <v>27610</v>
      </c>
    </row>
    <row r="124" spans="1:6">
      <c r="A124">
        <v>130000</v>
      </c>
      <c r="B124">
        <v>3</v>
      </c>
      <c r="C124">
        <v>1.5</v>
      </c>
      <c r="D124">
        <v>1264</v>
      </c>
      <c r="E124">
        <v>52</v>
      </c>
      <c r="F124">
        <v>27604</v>
      </c>
    </row>
    <row r="125" spans="1:6">
      <c r="A125">
        <v>131340</v>
      </c>
      <c r="B125">
        <v>3</v>
      </c>
      <c r="C125">
        <v>2.5</v>
      </c>
      <c r="D125">
        <v>1709</v>
      </c>
      <c r="E125">
        <v>0</v>
      </c>
      <c r="F125">
        <v>27610</v>
      </c>
    </row>
    <row r="126" spans="1:6">
      <c r="A126">
        <v>131460</v>
      </c>
      <c r="B126">
        <v>3</v>
      </c>
      <c r="C126">
        <v>2.5</v>
      </c>
      <c r="D126">
        <v>1507</v>
      </c>
      <c r="E126">
        <v>0</v>
      </c>
      <c r="F126">
        <v>27610</v>
      </c>
    </row>
    <row r="127" spans="1:6">
      <c r="A127">
        <v>131545</v>
      </c>
      <c r="B127">
        <v>3</v>
      </c>
      <c r="C127">
        <v>2.5</v>
      </c>
      <c r="D127">
        <v>1658</v>
      </c>
      <c r="E127">
        <v>0</v>
      </c>
      <c r="F127">
        <v>27610</v>
      </c>
    </row>
    <row r="128" spans="1:6">
      <c r="A128">
        <v>132000</v>
      </c>
      <c r="B128">
        <v>3</v>
      </c>
      <c r="C128">
        <v>2.5</v>
      </c>
      <c r="D128">
        <v>1483</v>
      </c>
      <c r="E128">
        <v>28</v>
      </c>
      <c r="F128">
        <v>27616</v>
      </c>
    </row>
    <row r="129" spans="1:6">
      <c r="A129">
        <v>133340</v>
      </c>
      <c r="B129">
        <v>3</v>
      </c>
      <c r="C129">
        <v>2.5</v>
      </c>
      <c r="D129">
        <v>1805</v>
      </c>
      <c r="E129">
        <v>0</v>
      </c>
      <c r="F129">
        <v>27610</v>
      </c>
    </row>
    <row r="130" spans="1:6">
      <c r="A130">
        <v>134000</v>
      </c>
      <c r="B130">
        <v>4</v>
      </c>
      <c r="C130">
        <v>2</v>
      </c>
      <c r="D130">
        <v>1680</v>
      </c>
      <c r="E130">
        <v>16</v>
      </c>
      <c r="F130">
        <v>27603</v>
      </c>
    </row>
    <row r="131" spans="1:6">
      <c r="A131">
        <v>134500</v>
      </c>
      <c r="B131">
        <v>3</v>
      </c>
      <c r="C131">
        <v>2</v>
      </c>
      <c r="D131">
        <v>1414</v>
      </c>
      <c r="E131">
        <v>11</v>
      </c>
      <c r="F131">
        <v>27610</v>
      </c>
    </row>
    <row r="132" spans="1:6">
      <c r="A132">
        <v>134900</v>
      </c>
      <c r="B132">
        <v>3</v>
      </c>
      <c r="C132">
        <v>2.5</v>
      </c>
      <c r="D132">
        <v>1447</v>
      </c>
      <c r="E132">
        <v>13</v>
      </c>
      <c r="F132">
        <v>27610</v>
      </c>
    </row>
    <row r="133" spans="1:6">
      <c r="A133">
        <v>134900</v>
      </c>
      <c r="B133">
        <v>4</v>
      </c>
      <c r="C133">
        <v>2</v>
      </c>
      <c r="D133">
        <v>1639</v>
      </c>
      <c r="E133">
        <v>44</v>
      </c>
      <c r="F133">
        <v>27610</v>
      </c>
    </row>
    <row r="134" spans="1:6">
      <c r="A134">
        <v>134900</v>
      </c>
      <c r="B134">
        <v>3</v>
      </c>
      <c r="C134">
        <v>2</v>
      </c>
      <c r="D134">
        <v>1507</v>
      </c>
      <c r="E134">
        <v>17</v>
      </c>
      <c r="F134">
        <v>27610</v>
      </c>
    </row>
    <row r="135" spans="1:6">
      <c r="A135">
        <v>135000</v>
      </c>
      <c r="B135">
        <v>3</v>
      </c>
      <c r="C135">
        <v>2</v>
      </c>
      <c r="D135">
        <v>1258</v>
      </c>
      <c r="E135">
        <v>18</v>
      </c>
      <c r="F135">
        <v>27610</v>
      </c>
    </row>
    <row r="136" spans="1:6">
      <c r="A136">
        <v>135000</v>
      </c>
      <c r="B136">
        <v>3</v>
      </c>
      <c r="C136">
        <v>2</v>
      </c>
      <c r="D136">
        <v>1300</v>
      </c>
      <c r="E136">
        <v>27</v>
      </c>
      <c r="F136">
        <v>27616</v>
      </c>
    </row>
    <row r="137" spans="1:6">
      <c r="A137">
        <v>135000</v>
      </c>
      <c r="B137">
        <v>3</v>
      </c>
      <c r="C137">
        <v>2.5</v>
      </c>
      <c r="D137">
        <v>1513</v>
      </c>
      <c r="E137">
        <v>9</v>
      </c>
      <c r="F137">
        <v>27610</v>
      </c>
    </row>
    <row r="138" spans="1:6">
      <c r="A138">
        <v>135000</v>
      </c>
      <c r="B138">
        <v>3</v>
      </c>
      <c r="C138">
        <v>2.5</v>
      </c>
      <c r="D138">
        <v>1338</v>
      </c>
      <c r="E138">
        <v>5</v>
      </c>
      <c r="F138">
        <v>27610</v>
      </c>
    </row>
    <row r="139" spans="1:6">
      <c r="A139">
        <v>135000</v>
      </c>
      <c r="B139">
        <v>4</v>
      </c>
      <c r="C139">
        <v>2.5</v>
      </c>
      <c r="D139">
        <v>1848</v>
      </c>
      <c r="E139">
        <v>7</v>
      </c>
      <c r="F139">
        <v>27610</v>
      </c>
    </row>
    <row r="140" spans="1:6">
      <c r="A140">
        <v>135000</v>
      </c>
      <c r="B140">
        <v>4</v>
      </c>
      <c r="C140">
        <v>2.5</v>
      </c>
      <c r="D140">
        <v>1765</v>
      </c>
      <c r="E140">
        <v>21</v>
      </c>
      <c r="F140">
        <v>27604</v>
      </c>
    </row>
    <row r="141" spans="1:6">
      <c r="A141">
        <v>135000</v>
      </c>
      <c r="B141">
        <v>2</v>
      </c>
      <c r="C141">
        <v>1.5</v>
      </c>
      <c r="D141">
        <v>1152</v>
      </c>
      <c r="E141">
        <v>33</v>
      </c>
      <c r="F141">
        <v>27616</v>
      </c>
    </row>
    <row r="142" spans="1:6">
      <c r="A142">
        <v>135000</v>
      </c>
      <c r="B142">
        <v>3</v>
      </c>
      <c r="C142">
        <v>2</v>
      </c>
      <c r="D142">
        <v>1412</v>
      </c>
      <c r="E142">
        <v>28</v>
      </c>
      <c r="F142">
        <v>27612</v>
      </c>
    </row>
    <row r="143" spans="1:6">
      <c r="A143">
        <v>135900</v>
      </c>
      <c r="B143">
        <v>3</v>
      </c>
      <c r="C143">
        <v>2.5</v>
      </c>
      <c r="D143">
        <v>1430</v>
      </c>
      <c r="E143">
        <v>29</v>
      </c>
      <c r="F143">
        <v>27604</v>
      </c>
    </row>
    <row r="144" spans="1:6">
      <c r="A144">
        <v>136000</v>
      </c>
      <c r="B144">
        <v>3</v>
      </c>
      <c r="C144">
        <v>2.5</v>
      </c>
      <c r="D144">
        <v>1635</v>
      </c>
      <c r="E144">
        <v>28</v>
      </c>
      <c r="F144">
        <v>27616</v>
      </c>
    </row>
    <row r="145" spans="1:6">
      <c r="A145">
        <v>138497</v>
      </c>
      <c r="B145">
        <v>4</v>
      </c>
      <c r="C145">
        <v>2.5</v>
      </c>
      <c r="D145">
        <v>1780</v>
      </c>
      <c r="E145">
        <v>0</v>
      </c>
      <c r="F145">
        <v>27610</v>
      </c>
    </row>
    <row r="146" spans="1:6">
      <c r="A146">
        <v>138497</v>
      </c>
      <c r="B146">
        <v>4</v>
      </c>
      <c r="C146">
        <v>2.5</v>
      </c>
      <c r="D146">
        <v>1780</v>
      </c>
      <c r="E146">
        <v>0</v>
      </c>
      <c r="F146">
        <v>27610</v>
      </c>
    </row>
    <row r="147" spans="1:6">
      <c r="A147">
        <v>138500</v>
      </c>
      <c r="B147">
        <v>3</v>
      </c>
      <c r="C147">
        <v>2.5</v>
      </c>
      <c r="D147">
        <v>1800</v>
      </c>
      <c r="E147">
        <v>21</v>
      </c>
      <c r="F147">
        <v>27616</v>
      </c>
    </row>
    <row r="148" spans="1:6">
      <c r="A148">
        <v>138900</v>
      </c>
      <c r="B148">
        <v>3</v>
      </c>
      <c r="C148">
        <v>2</v>
      </c>
      <c r="D148">
        <v>1389</v>
      </c>
      <c r="E148">
        <v>1</v>
      </c>
      <c r="F148">
        <v>27610</v>
      </c>
    </row>
    <row r="149" spans="1:6">
      <c r="A149">
        <v>139000</v>
      </c>
      <c r="B149">
        <v>3</v>
      </c>
      <c r="C149">
        <v>2.5</v>
      </c>
      <c r="D149">
        <v>2000</v>
      </c>
      <c r="E149">
        <v>9</v>
      </c>
      <c r="F149">
        <v>27610</v>
      </c>
    </row>
    <row r="150" spans="1:6">
      <c r="A150">
        <v>139000</v>
      </c>
      <c r="B150">
        <v>4</v>
      </c>
      <c r="C150">
        <v>1.5</v>
      </c>
      <c r="D150">
        <v>1626</v>
      </c>
      <c r="E150">
        <v>47</v>
      </c>
      <c r="F150">
        <v>27610</v>
      </c>
    </row>
    <row r="151" spans="1:6">
      <c r="A151">
        <v>139000</v>
      </c>
      <c r="B151">
        <v>3</v>
      </c>
      <c r="C151">
        <v>2</v>
      </c>
      <c r="D151">
        <v>1455</v>
      </c>
      <c r="E151">
        <v>49</v>
      </c>
      <c r="F151">
        <v>27604</v>
      </c>
    </row>
    <row r="152" spans="1:6">
      <c r="A152">
        <v>139000</v>
      </c>
      <c r="B152">
        <v>3</v>
      </c>
      <c r="C152">
        <v>2.5</v>
      </c>
      <c r="D152">
        <v>1645</v>
      </c>
      <c r="E152">
        <v>28</v>
      </c>
      <c r="F152">
        <v>27604</v>
      </c>
    </row>
    <row r="153" spans="1:6">
      <c r="A153">
        <v>139500</v>
      </c>
      <c r="B153">
        <v>3</v>
      </c>
      <c r="C153">
        <v>2.5</v>
      </c>
      <c r="D153">
        <v>1480</v>
      </c>
      <c r="E153">
        <v>22</v>
      </c>
      <c r="F153">
        <v>27616</v>
      </c>
    </row>
    <row r="154" spans="1:6">
      <c r="A154">
        <v>139900</v>
      </c>
      <c r="B154">
        <v>3</v>
      </c>
      <c r="C154">
        <v>2.5</v>
      </c>
      <c r="D154">
        <v>1650</v>
      </c>
      <c r="E154">
        <v>14</v>
      </c>
      <c r="F154">
        <v>27603</v>
      </c>
    </row>
    <row r="155" spans="1:6">
      <c r="A155">
        <v>139900</v>
      </c>
      <c r="B155">
        <v>3</v>
      </c>
      <c r="C155">
        <v>1.5</v>
      </c>
      <c r="D155">
        <v>1207</v>
      </c>
      <c r="E155">
        <v>42</v>
      </c>
      <c r="F155">
        <v>27604</v>
      </c>
    </row>
    <row r="156" spans="1:6">
      <c r="A156">
        <v>139900</v>
      </c>
      <c r="B156">
        <v>3</v>
      </c>
      <c r="C156">
        <v>2</v>
      </c>
      <c r="D156">
        <v>1400</v>
      </c>
      <c r="E156">
        <v>13</v>
      </c>
      <c r="F156">
        <v>27616</v>
      </c>
    </row>
    <row r="157" spans="1:6">
      <c r="A157">
        <v>139900</v>
      </c>
      <c r="B157">
        <v>3</v>
      </c>
      <c r="C157">
        <v>2</v>
      </c>
      <c r="D157">
        <v>1338</v>
      </c>
      <c r="E157">
        <v>21</v>
      </c>
      <c r="F157">
        <v>27616</v>
      </c>
    </row>
    <row r="158" spans="1:6">
      <c r="A158">
        <v>139900</v>
      </c>
      <c r="B158">
        <v>3</v>
      </c>
      <c r="C158">
        <v>2.5</v>
      </c>
      <c r="D158">
        <v>1805</v>
      </c>
      <c r="E158">
        <v>0</v>
      </c>
      <c r="F158">
        <v>27610</v>
      </c>
    </row>
    <row r="159" spans="1:6">
      <c r="A159">
        <v>139900</v>
      </c>
      <c r="B159">
        <v>3</v>
      </c>
      <c r="C159">
        <v>2.5</v>
      </c>
      <c r="D159">
        <v>2335</v>
      </c>
      <c r="E159">
        <v>7</v>
      </c>
      <c r="F159">
        <v>27610</v>
      </c>
    </row>
    <row r="160" spans="1:6">
      <c r="A160">
        <v>139900</v>
      </c>
      <c r="B160">
        <v>3</v>
      </c>
      <c r="C160">
        <v>2</v>
      </c>
      <c r="D160">
        <v>1240</v>
      </c>
      <c r="E160">
        <v>26</v>
      </c>
      <c r="F160">
        <v>27604</v>
      </c>
    </row>
    <row r="161" spans="1:6">
      <c r="A161">
        <v>139900</v>
      </c>
      <c r="B161">
        <v>4</v>
      </c>
      <c r="C161">
        <v>3</v>
      </c>
      <c r="D161">
        <v>1663</v>
      </c>
      <c r="E161">
        <v>49</v>
      </c>
      <c r="F161">
        <v>27609</v>
      </c>
    </row>
    <row r="162" spans="1:6">
      <c r="A162">
        <v>139900</v>
      </c>
      <c r="B162">
        <v>3</v>
      </c>
      <c r="C162">
        <v>2.5</v>
      </c>
      <c r="D162">
        <v>1574</v>
      </c>
      <c r="E162">
        <v>16</v>
      </c>
      <c r="F162">
        <v>27610</v>
      </c>
    </row>
    <row r="163" spans="1:6">
      <c r="A163">
        <v>139999</v>
      </c>
      <c r="B163">
        <v>3</v>
      </c>
      <c r="C163">
        <v>2.5</v>
      </c>
      <c r="D163">
        <v>1738</v>
      </c>
      <c r="E163">
        <v>14</v>
      </c>
      <c r="F163">
        <v>27610</v>
      </c>
    </row>
    <row r="164" spans="1:6">
      <c r="A164">
        <v>139999</v>
      </c>
      <c r="B164">
        <v>3</v>
      </c>
      <c r="C164">
        <v>2</v>
      </c>
      <c r="D164">
        <v>1274</v>
      </c>
      <c r="E164">
        <v>28</v>
      </c>
      <c r="F164">
        <v>27604</v>
      </c>
    </row>
    <row r="165" spans="1:6">
      <c r="A165">
        <v>139999</v>
      </c>
      <c r="B165">
        <v>3</v>
      </c>
      <c r="C165">
        <v>2.5</v>
      </c>
      <c r="D165">
        <v>1610</v>
      </c>
      <c r="E165">
        <v>9</v>
      </c>
      <c r="F165">
        <v>27610</v>
      </c>
    </row>
    <row r="166" spans="1:6">
      <c r="A166">
        <v>141000</v>
      </c>
      <c r="B166">
        <v>4</v>
      </c>
      <c r="C166">
        <v>2.5</v>
      </c>
      <c r="D166">
        <v>1569</v>
      </c>
      <c r="E166">
        <v>6</v>
      </c>
      <c r="F166">
        <v>27610</v>
      </c>
    </row>
    <row r="167" spans="1:6">
      <c r="A167">
        <v>141340</v>
      </c>
      <c r="B167">
        <v>3</v>
      </c>
      <c r="C167">
        <v>2.5</v>
      </c>
      <c r="D167">
        <v>1805</v>
      </c>
      <c r="E167">
        <v>0</v>
      </c>
      <c r="F167">
        <v>27610</v>
      </c>
    </row>
    <row r="168" spans="1:6">
      <c r="A168">
        <v>142000</v>
      </c>
      <c r="B168">
        <v>3</v>
      </c>
      <c r="C168">
        <v>2.5</v>
      </c>
      <c r="D168">
        <v>1459</v>
      </c>
      <c r="E168">
        <v>26</v>
      </c>
      <c r="F168">
        <v>27604</v>
      </c>
    </row>
    <row r="169" spans="1:6">
      <c r="A169">
        <v>142000</v>
      </c>
      <c r="B169">
        <v>3</v>
      </c>
      <c r="C169">
        <v>2</v>
      </c>
      <c r="D169">
        <v>1942</v>
      </c>
      <c r="E169">
        <v>51</v>
      </c>
      <c r="F169">
        <v>27616</v>
      </c>
    </row>
    <row r="170" spans="1:6">
      <c r="A170">
        <v>142000</v>
      </c>
      <c r="B170">
        <v>3</v>
      </c>
      <c r="C170">
        <v>2.5</v>
      </c>
      <c r="D170">
        <v>1675</v>
      </c>
      <c r="E170">
        <v>28</v>
      </c>
      <c r="F170">
        <v>27616</v>
      </c>
    </row>
    <row r="171" spans="1:6">
      <c r="A171">
        <v>142000</v>
      </c>
      <c r="B171">
        <v>3</v>
      </c>
      <c r="C171">
        <v>2</v>
      </c>
      <c r="D171">
        <v>1116</v>
      </c>
      <c r="E171">
        <v>25</v>
      </c>
      <c r="F171">
        <v>27604</v>
      </c>
    </row>
    <row r="172" spans="1:6">
      <c r="A172">
        <v>142000</v>
      </c>
      <c r="B172">
        <v>3</v>
      </c>
      <c r="C172">
        <v>1.5</v>
      </c>
      <c r="D172">
        <v>1600</v>
      </c>
      <c r="E172">
        <v>38</v>
      </c>
      <c r="F172">
        <v>27604</v>
      </c>
    </row>
    <row r="173" spans="1:6">
      <c r="A173">
        <v>142500</v>
      </c>
      <c r="B173">
        <v>3</v>
      </c>
      <c r="C173">
        <v>2.5</v>
      </c>
      <c r="D173">
        <v>1405</v>
      </c>
      <c r="E173">
        <v>16</v>
      </c>
      <c r="F173">
        <v>27604</v>
      </c>
    </row>
    <row r="174" spans="1:6">
      <c r="A174">
        <v>142822</v>
      </c>
      <c r="B174">
        <v>4</v>
      </c>
      <c r="C174">
        <v>2.5</v>
      </c>
      <c r="D174">
        <v>1860</v>
      </c>
      <c r="E174">
        <v>0</v>
      </c>
      <c r="F174">
        <v>27610</v>
      </c>
    </row>
    <row r="175" spans="1:6">
      <c r="A175">
        <v>142900</v>
      </c>
      <c r="B175">
        <v>4</v>
      </c>
      <c r="C175">
        <v>2</v>
      </c>
      <c r="D175">
        <v>1522</v>
      </c>
      <c r="E175">
        <v>13</v>
      </c>
      <c r="F175">
        <v>27616</v>
      </c>
    </row>
    <row r="176" spans="1:6">
      <c r="A176">
        <v>142900</v>
      </c>
      <c r="B176">
        <v>3</v>
      </c>
      <c r="C176">
        <v>2</v>
      </c>
      <c r="D176">
        <v>1433</v>
      </c>
      <c r="E176">
        <v>1</v>
      </c>
      <c r="F176">
        <v>27610</v>
      </c>
    </row>
    <row r="177" spans="1:6">
      <c r="A177">
        <v>143640</v>
      </c>
      <c r="B177">
        <v>4</v>
      </c>
      <c r="C177">
        <v>2.5</v>
      </c>
      <c r="D177">
        <v>1826</v>
      </c>
      <c r="E177">
        <v>1</v>
      </c>
      <c r="F177">
        <v>27610</v>
      </c>
    </row>
    <row r="178" spans="1:6">
      <c r="A178">
        <v>144000</v>
      </c>
      <c r="B178">
        <v>3</v>
      </c>
      <c r="C178">
        <v>2</v>
      </c>
      <c r="D178">
        <v>1572</v>
      </c>
      <c r="E178">
        <v>23</v>
      </c>
      <c r="F178">
        <v>27603</v>
      </c>
    </row>
    <row r="179" spans="1:6">
      <c r="A179">
        <v>144900</v>
      </c>
      <c r="B179">
        <v>3</v>
      </c>
      <c r="C179">
        <v>1</v>
      </c>
      <c r="D179">
        <v>1420</v>
      </c>
      <c r="E179">
        <v>59</v>
      </c>
      <c r="F179">
        <v>27610</v>
      </c>
    </row>
    <row r="180" spans="1:6">
      <c r="A180">
        <v>144900</v>
      </c>
      <c r="B180">
        <v>4</v>
      </c>
      <c r="C180">
        <v>2.5</v>
      </c>
      <c r="D180">
        <v>1589</v>
      </c>
      <c r="E180">
        <v>8</v>
      </c>
      <c r="F180">
        <v>27610</v>
      </c>
    </row>
    <row r="181" spans="1:6">
      <c r="A181">
        <v>144900</v>
      </c>
      <c r="B181">
        <v>4</v>
      </c>
      <c r="C181">
        <v>2.5</v>
      </c>
      <c r="D181">
        <v>2125</v>
      </c>
      <c r="E181">
        <v>11</v>
      </c>
      <c r="F181">
        <v>27616</v>
      </c>
    </row>
    <row r="182" spans="1:6">
      <c r="A182">
        <v>144900</v>
      </c>
      <c r="B182">
        <v>3</v>
      </c>
      <c r="C182">
        <v>2.5</v>
      </c>
      <c r="D182">
        <v>1978</v>
      </c>
      <c r="E182">
        <v>9</v>
      </c>
      <c r="F182">
        <v>27610</v>
      </c>
    </row>
    <row r="183" spans="1:6">
      <c r="A183">
        <v>144900</v>
      </c>
      <c r="B183">
        <v>3</v>
      </c>
      <c r="C183">
        <v>1</v>
      </c>
      <c r="D183">
        <v>1152</v>
      </c>
      <c r="E183">
        <v>62</v>
      </c>
      <c r="F183">
        <v>27610</v>
      </c>
    </row>
    <row r="184" spans="1:6">
      <c r="A184">
        <v>144990</v>
      </c>
      <c r="B184">
        <v>4</v>
      </c>
      <c r="C184">
        <v>2.5</v>
      </c>
      <c r="D184">
        <v>1826</v>
      </c>
      <c r="E184">
        <v>0</v>
      </c>
      <c r="F184">
        <v>27610</v>
      </c>
    </row>
    <row r="185" spans="1:6">
      <c r="A185">
        <v>145000</v>
      </c>
      <c r="B185">
        <v>3</v>
      </c>
      <c r="C185">
        <v>1.5</v>
      </c>
      <c r="D185">
        <v>1556</v>
      </c>
      <c r="E185">
        <v>37</v>
      </c>
      <c r="F185">
        <v>27615</v>
      </c>
    </row>
    <row r="186" spans="1:6">
      <c r="A186">
        <v>145000</v>
      </c>
      <c r="B186">
        <v>4</v>
      </c>
      <c r="C186">
        <v>2.5</v>
      </c>
      <c r="D186">
        <v>1696</v>
      </c>
      <c r="E186">
        <v>7</v>
      </c>
      <c r="F186">
        <v>27610</v>
      </c>
    </row>
    <row r="187" spans="1:6">
      <c r="A187">
        <v>145000</v>
      </c>
      <c r="B187">
        <v>3</v>
      </c>
      <c r="C187">
        <v>2.5</v>
      </c>
      <c r="D187">
        <v>1519</v>
      </c>
      <c r="E187">
        <v>7</v>
      </c>
      <c r="F187">
        <v>27610</v>
      </c>
    </row>
    <row r="188" spans="1:6">
      <c r="A188">
        <v>145900</v>
      </c>
      <c r="B188">
        <v>2</v>
      </c>
      <c r="C188">
        <v>1</v>
      </c>
      <c r="D188">
        <v>840</v>
      </c>
      <c r="E188">
        <v>74</v>
      </c>
      <c r="F188">
        <v>27608</v>
      </c>
    </row>
    <row r="189" spans="1:6">
      <c r="A189">
        <v>146500</v>
      </c>
      <c r="B189">
        <v>3</v>
      </c>
      <c r="C189">
        <v>2.5</v>
      </c>
      <c r="D189">
        <v>1501</v>
      </c>
      <c r="E189">
        <v>19</v>
      </c>
      <c r="F189">
        <v>27604</v>
      </c>
    </row>
    <row r="190" spans="1:6">
      <c r="A190">
        <v>147000</v>
      </c>
      <c r="B190">
        <v>3</v>
      </c>
      <c r="C190">
        <v>2.5</v>
      </c>
      <c r="D190">
        <v>1515</v>
      </c>
      <c r="E190">
        <v>19</v>
      </c>
      <c r="F190">
        <v>27604</v>
      </c>
    </row>
    <row r="191" spans="1:6">
      <c r="A191">
        <v>147436</v>
      </c>
      <c r="B191">
        <v>3</v>
      </c>
      <c r="C191">
        <v>2</v>
      </c>
      <c r="D191">
        <v>1798</v>
      </c>
      <c r="E191">
        <v>0</v>
      </c>
      <c r="F191">
        <v>27610</v>
      </c>
    </row>
    <row r="192" spans="1:6">
      <c r="A192">
        <v>147436</v>
      </c>
      <c r="B192">
        <v>3</v>
      </c>
      <c r="C192">
        <v>2</v>
      </c>
      <c r="D192">
        <v>1798</v>
      </c>
      <c r="E192">
        <v>0</v>
      </c>
      <c r="F192">
        <v>27610</v>
      </c>
    </row>
    <row r="193" spans="1:6">
      <c r="A193">
        <v>147900</v>
      </c>
      <c r="B193">
        <v>3</v>
      </c>
      <c r="C193">
        <v>2.5</v>
      </c>
      <c r="D193">
        <v>1726</v>
      </c>
      <c r="E193">
        <v>14</v>
      </c>
      <c r="F193">
        <v>27616</v>
      </c>
    </row>
    <row r="194" spans="1:6">
      <c r="A194">
        <v>149800</v>
      </c>
      <c r="B194">
        <v>4</v>
      </c>
      <c r="C194">
        <v>3</v>
      </c>
      <c r="D194">
        <v>2035</v>
      </c>
      <c r="E194">
        <v>10</v>
      </c>
      <c r="F194">
        <v>27610</v>
      </c>
    </row>
    <row r="195" spans="1:6">
      <c r="A195">
        <v>149900</v>
      </c>
      <c r="B195">
        <v>3</v>
      </c>
      <c r="C195">
        <v>1</v>
      </c>
      <c r="D195">
        <v>1300</v>
      </c>
      <c r="E195">
        <v>58</v>
      </c>
      <c r="F195">
        <v>27606</v>
      </c>
    </row>
    <row r="196" spans="1:6">
      <c r="A196">
        <v>149900</v>
      </c>
      <c r="B196">
        <v>3</v>
      </c>
      <c r="C196">
        <v>2.5</v>
      </c>
      <c r="D196">
        <v>1890</v>
      </c>
      <c r="E196">
        <v>12</v>
      </c>
      <c r="F196">
        <v>27604</v>
      </c>
    </row>
    <row r="197" spans="1:6">
      <c r="A197">
        <v>149900</v>
      </c>
      <c r="B197">
        <v>5</v>
      </c>
      <c r="C197">
        <v>2.5</v>
      </c>
      <c r="D197">
        <v>2284</v>
      </c>
      <c r="E197">
        <v>24</v>
      </c>
      <c r="F197">
        <v>27610</v>
      </c>
    </row>
    <row r="198" spans="1:6">
      <c r="A198">
        <v>149900</v>
      </c>
      <c r="B198">
        <v>3</v>
      </c>
      <c r="C198">
        <v>2</v>
      </c>
      <c r="D198">
        <v>1376</v>
      </c>
      <c r="E198">
        <v>12</v>
      </c>
      <c r="F198">
        <v>27616</v>
      </c>
    </row>
    <row r="199" spans="1:6">
      <c r="A199">
        <v>149900</v>
      </c>
      <c r="B199">
        <v>4</v>
      </c>
      <c r="C199">
        <v>2.5</v>
      </c>
      <c r="D199">
        <v>2220</v>
      </c>
      <c r="E199">
        <v>15</v>
      </c>
      <c r="F199">
        <v>27616</v>
      </c>
    </row>
    <row r="200" spans="1:6">
      <c r="A200">
        <v>149900</v>
      </c>
      <c r="B200">
        <v>3</v>
      </c>
      <c r="C200">
        <v>2.5</v>
      </c>
      <c r="D200">
        <v>1802</v>
      </c>
      <c r="E200">
        <v>8</v>
      </c>
      <c r="F200">
        <v>27610</v>
      </c>
    </row>
    <row r="201" spans="1:6">
      <c r="A201">
        <v>149900</v>
      </c>
      <c r="B201">
        <v>3</v>
      </c>
      <c r="C201">
        <v>1</v>
      </c>
      <c r="D201">
        <v>1176</v>
      </c>
      <c r="E201">
        <v>49</v>
      </c>
      <c r="F201">
        <v>27610</v>
      </c>
    </row>
    <row r="202" spans="1:6">
      <c r="A202">
        <v>149900</v>
      </c>
      <c r="B202">
        <v>3</v>
      </c>
      <c r="C202">
        <v>2</v>
      </c>
      <c r="D202">
        <v>1333</v>
      </c>
      <c r="E202">
        <v>16</v>
      </c>
      <c r="F202">
        <v>27616</v>
      </c>
    </row>
    <row r="203" spans="1:6">
      <c r="A203">
        <v>149900</v>
      </c>
      <c r="B203">
        <v>3</v>
      </c>
      <c r="C203">
        <v>2.5</v>
      </c>
      <c r="D203">
        <v>1640</v>
      </c>
      <c r="E203">
        <v>21</v>
      </c>
      <c r="F203">
        <v>27610</v>
      </c>
    </row>
    <row r="204" spans="1:6">
      <c r="A204">
        <v>149900</v>
      </c>
      <c r="B204">
        <v>4</v>
      </c>
      <c r="C204">
        <v>2.5</v>
      </c>
      <c r="D204">
        <v>1924</v>
      </c>
      <c r="E204">
        <v>17</v>
      </c>
      <c r="F204">
        <v>27610</v>
      </c>
    </row>
    <row r="205" spans="1:6">
      <c r="A205">
        <v>149900</v>
      </c>
      <c r="B205">
        <v>3</v>
      </c>
      <c r="C205">
        <v>2</v>
      </c>
      <c r="D205">
        <v>1105</v>
      </c>
      <c r="E205">
        <v>33</v>
      </c>
      <c r="F205">
        <v>27604</v>
      </c>
    </row>
    <row r="206" spans="1:6">
      <c r="A206">
        <v>149967</v>
      </c>
      <c r="B206">
        <v>3</v>
      </c>
      <c r="C206">
        <v>3</v>
      </c>
      <c r="D206">
        <v>2053</v>
      </c>
      <c r="E206">
        <v>0</v>
      </c>
      <c r="F206">
        <v>27610</v>
      </c>
    </row>
    <row r="207" spans="1:6">
      <c r="A207">
        <v>149967</v>
      </c>
      <c r="B207">
        <v>4</v>
      </c>
      <c r="C207">
        <v>3</v>
      </c>
      <c r="D207">
        <v>2053</v>
      </c>
      <c r="E207">
        <v>0</v>
      </c>
      <c r="F207">
        <v>27610</v>
      </c>
    </row>
    <row r="208" spans="1:6">
      <c r="A208">
        <v>149990</v>
      </c>
      <c r="B208">
        <v>4</v>
      </c>
      <c r="C208">
        <v>2.5</v>
      </c>
      <c r="D208">
        <v>1826</v>
      </c>
      <c r="E208">
        <v>0</v>
      </c>
      <c r="F208">
        <v>27610</v>
      </c>
    </row>
    <row r="209" spans="1:6">
      <c r="A209">
        <v>150000</v>
      </c>
      <c r="B209">
        <v>3</v>
      </c>
      <c r="C209">
        <v>2.5</v>
      </c>
      <c r="D209">
        <v>1467</v>
      </c>
      <c r="E209">
        <v>22</v>
      </c>
      <c r="F209">
        <v>27604</v>
      </c>
    </row>
    <row r="210" spans="1:6">
      <c r="A210">
        <v>150000</v>
      </c>
      <c r="B210">
        <v>4</v>
      </c>
      <c r="C210">
        <v>2.5</v>
      </c>
      <c r="D210">
        <v>2507</v>
      </c>
      <c r="E210">
        <v>7</v>
      </c>
      <c r="F210">
        <v>27610</v>
      </c>
    </row>
    <row r="211" spans="1:6">
      <c r="A211">
        <v>150000</v>
      </c>
      <c r="B211">
        <v>3</v>
      </c>
      <c r="C211">
        <v>2.5</v>
      </c>
      <c r="D211">
        <v>2215</v>
      </c>
      <c r="E211">
        <v>10</v>
      </c>
      <c r="F211">
        <v>27610</v>
      </c>
    </row>
    <row r="212" spans="1:6">
      <c r="A212">
        <v>150000</v>
      </c>
      <c r="B212">
        <v>3</v>
      </c>
      <c r="C212">
        <v>2</v>
      </c>
      <c r="D212">
        <v>1356</v>
      </c>
      <c r="E212">
        <v>27</v>
      </c>
      <c r="F212">
        <v>27616</v>
      </c>
    </row>
    <row r="213" spans="1:6">
      <c r="A213">
        <v>150000</v>
      </c>
      <c r="B213">
        <v>3</v>
      </c>
      <c r="C213">
        <v>2</v>
      </c>
      <c r="D213">
        <v>1440</v>
      </c>
      <c r="E213">
        <v>18</v>
      </c>
      <c r="F213">
        <v>27604</v>
      </c>
    </row>
    <row r="214" spans="1:6">
      <c r="A214">
        <v>150000</v>
      </c>
      <c r="B214">
        <v>4</v>
      </c>
      <c r="C214">
        <v>2.5</v>
      </c>
      <c r="D214">
        <v>1763</v>
      </c>
      <c r="E214">
        <v>4</v>
      </c>
      <c r="F214">
        <v>27610</v>
      </c>
    </row>
    <row r="215" spans="1:6">
      <c r="A215">
        <v>150000</v>
      </c>
      <c r="B215">
        <v>3</v>
      </c>
      <c r="C215">
        <v>2.5</v>
      </c>
      <c r="D215">
        <v>1435</v>
      </c>
      <c r="E215">
        <v>26</v>
      </c>
      <c r="F215">
        <v>27604</v>
      </c>
    </row>
    <row r="216" spans="1:6">
      <c r="A216">
        <v>150000</v>
      </c>
      <c r="B216">
        <v>3</v>
      </c>
      <c r="C216">
        <v>2.5</v>
      </c>
      <c r="D216">
        <v>2367</v>
      </c>
      <c r="E216">
        <v>11</v>
      </c>
      <c r="F216">
        <v>27610</v>
      </c>
    </row>
    <row r="217" spans="1:6">
      <c r="A217">
        <v>150000</v>
      </c>
      <c r="B217">
        <v>3</v>
      </c>
      <c r="C217">
        <v>1.5</v>
      </c>
      <c r="D217">
        <v>1357</v>
      </c>
      <c r="E217">
        <v>57</v>
      </c>
      <c r="F217">
        <v>27604</v>
      </c>
    </row>
    <row r="218" spans="1:6">
      <c r="A218">
        <v>151000</v>
      </c>
      <c r="B218">
        <v>5</v>
      </c>
      <c r="C218">
        <v>2.5</v>
      </c>
      <c r="D218">
        <v>2000</v>
      </c>
      <c r="E218">
        <v>12</v>
      </c>
      <c r="F218">
        <v>27604</v>
      </c>
    </row>
    <row r="219" spans="1:6">
      <c r="A219">
        <v>153000</v>
      </c>
      <c r="B219">
        <v>4</v>
      </c>
      <c r="C219">
        <v>2.5</v>
      </c>
      <c r="D219">
        <v>2260</v>
      </c>
      <c r="E219">
        <v>48</v>
      </c>
      <c r="F219">
        <v>27604</v>
      </c>
    </row>
    <row r="220" spans="1:6">
      <c r="A220">
        <v>153000</v>
      </c>
      <c r="B220">
        <v>3</v>
      </c>
      <c r="C220">
        <v>2.5</v>
      </c>
      <c r="D220">
        <v>1676</v>
      </c>
      <c r="E220">
        <v>16</v>
      </c>
      <c r="F220">
        <v>27603</v>
      </c>
    </row>
    <row r="221" spans="1:6">
      <c r="A221">
        <v>153000</v>
      </c>
      <c r="B221">
        <v>3</v>
      </c>
      <c r="C221">
        <v>2.5</v>
      </c>
      <c r="D221">
        <v>1820</v>
      </c>
      <c r="E221">
        <v>9</v>
      </c>
      <c r="F221">
        <v>27610</v>
      </c>
    </row>
    <row r="222" spans="1:6">
      <c r="A222">
        <v>154900</v>
      </c>
      <c r="B222">
        <v>4</v>
      </c>
      <c r="C222">
        <v>2</v>
      </c>
      <c r="D222">
        <v>1360</v>
      </c>
      <c r="E222">
        <v>62</v>
      </c>
      <c r="F222">
        <v>27608</v>
      </c>
    </row>
    <row r="223" spans="1:6">
      <c r="A223">
        <v>154900</v>
      </c>
      <c r="B223">
        <v>3</v>
      </c>
      <c r="C223">
        <v>1</v>
      </c>
      <c r="D223">
        <v>1050</v>
      </c>
      <c r="E223">
        <v>54</v>
      </c>
      <c r="F223">
        <v>27609</v>
      </c>
    </row>
    <row r="224" spans="1:6">
      <c r="A224">
        <v>154900</v>
      </c>
      <c r="B224">
        <v>3</v>
      </c>
      <c r="C224">
        <v>2</v>
      </c>
      <c r="D224">
        <v>1640</v>
      </c>
      <c r="E224">
        <v>42</v>
      </c>
      <c r="F224">
        <v>27604</v>
      </c>
    </row>
    <row r="225" spans="1:6">
      <c r="A225">
        <v>155000</v>
      </c>
      <c r="B225">
        <v>3</v>
      </c>
      <c r="C225">
        <v>1.5</v>
      </c>
      <c r="D225">
        <v>1218</v>
      </c>
      <c r="E225">
        <v>38</v>
      </c>
      <c r="F225">
        <v>27604</v>
      </c>
    </row>
    <row r="226" spans="1:6">
      <c r="A226">
        <v>155000</v>
      </c>
      <c r="B226">
        <v>3</v>
      </c>
      <c r="C226">
        <v>2.5</v>
      </c>
      <c r="D226">
        <v>1375</v>
      </c>
      <c r="E226">
        <v>37</v>
      </c>
      <c r="F226">
        <v>27615</v>
      </c>
    </row>
    <row r="227" spans="1:6">
      <c r="A227">
        <v>155000</v>
      </c>
      <c r="B227">
        <v>4</v>
      </c>
      <c r="C227">
        <v>2.5</v>
      </c>
      <c r="D227">
        <v>1950</v>
      </c>
      <c r="E227">
        <v>28</v>
      </c>
      <c r="F227">
        <v>27616</v>
      </c>
    </row>
    <row r="228" spans="1:6">
      <c r="A228">
        <v>155000</v>
      </c>
      <c r="B228">
        <v>3</v>
      </c>
      <c r="C228">
        <v>2.5</v>
      </c>
      <c r="D228">
        <v>1366</v>
      </c>
      <c r="E228">
        <v>10</v>
      </c>
      <c r="F228">
        <v>27604</v>
      </c>
    </row>
    <row r="229" spans="1:6">
      <c r="A229">
        <v>155000</v>
      </c>
      <c r="B229">
        <v>3</v>
      </c>
      <c r="C229">
        <v>2</v>
      </c>
      <c r="D229">
        <v>1544</v>
      </c>
      <c r="E229">
        <v>34</v>
      </c>
      <c r="F229">
        <v>27609</v>
      </c>
    </row>
    <row r="230" spans="1:6">
      <c r="A230">
        <v>155000</v>
      </c>
      <c r="B230">
        <v>4</v>
      </c>
      <c r="C230">
        <v>2</v>
      </c>
      <c r="D230">
        <v>2360</v>
      </c>
      <c r="E230">
        <v>55</v>
      </c>
      <c r="F230">
        <v>27609</v>
      </c>
    </row>
    <row r="231" spans="1:6">
      <c r="A231">
        <v>155900</v>
      </c>
      <c r="B231">
        <v>3</v>
      </c>
      <c r="C231">
        <v>2</v>
      </c>
      <c r="D231">
        <v>1845</v>
      </c>
      <c r="E231">
        <v>45</v>
      </c>
      <c r="F231">
        <v>27603</v>
      </c>
    </row>
    <row r="232" spans="1:6">
      <c r="A232">
        <v>156990</v>
      </c>
      <c r="B232">
        <v>4</v>
      </c>
      <c r="C232">
        <v>2.5</v>
      </c>
      <c r="D232">
        <v>1900</v>
      </c>
      <c r="E232">
        <v>0</v>
      </c>
      <c r="F232">
        <v>27610</v>
      </c>
    </row>
    <row r="233" spans="1:6">
      <c r="A233">
        <v>157900</v>
      </c>
      <c r="B233">
        <v>3</v>
      </c>
      <c r="C233">
        <v>2</v>
      </c>
      <c r="D233">
        <v>1300</v>
      </c>
      <c r="E233">
        <v>32</v>
      </c>
      <c r="F233">
        <v>27613</v>
      </c>
    </row>
    <row r="234" spans="1:6">
      <c r="A234">
        <v>158000</v>
      </c>
      <c r="B234">
        <v>4</v>
      </c>
      <c r="C234">
        <v>2.5</v>
      </c>
      <c r="D234">
        <v>1934</v>
      </c>
      <c r="E234">
        <v>15</v>
      </c>
      <c r="F234">
        <v>27616</v>
      </c>
    </row>
    <row r="235" spans="1:6">
      <c r="A235">
        <v>158899</v>
      </c>
      <c r="B235">
        <v>3</v>
      </c>
      <c r="C235">
        <v>2.5</v>
      </c>
      <c r="D235">
        <v>1889</v>
      </c>
      <c r="E235">
        <v>9</v>
      </c>
      <c r="F235">
        <v>27610</v>
      </c>
    </row>
    <row r="236" spans="1:6">
      <c r="A236">
        <v>159000</v>
      </c>
      <c r="B236">
        <v>3</v>
      </c>
      <c r="C236">
        <v>1.5</v>
      </c>
      <c r="D236">
        <v>1558</v>
      </c>
      <c r="E236">
        <v>38</v>
      </c>
      <c r="F236">
        <v>27615</v>
      </c>
    </row>
    <row r="237" spans="1:6">
      <c r="A237">
        <v>159900</v>
      </c>
      <c r="B237">
        <v>3</v>
      </c>
      <c r="C237">
        <v>1</v>
      </c>
      <c r="D237">
        <v>1231</v>
      </c>
      <c r="E237">
        <v>56</v>
      </c>
      <c r="F237">
        <v>27606</v>
      </c>
    </row>
    <row r="238" spans="1:6">
      <c r="A238">
        <v>159900</v>
      </c>
      <c r="B238">
        <v>4</v>
      </c>
      <c r="C238">
        <v>2.5</v>
      </c>
      <c r="D238">
        <v>2114</v>
      </c>
      <c r="E238">
        <v>12</v>
      </c>
      <c r="F238">
        <v>27604</v>
      </c>
    </row>
    <row r="239" spans="1:6">
      <c r="A239">
        <v>159900</v>
      </c>
      <c r="B239">
        <v>4</v>
      </c>
      <c r="C239">
        <v>2.5</v>
      </c>
      <c r="D239">
        <v>1722</v>
      </c>
      <c r="E239">
        <v>10</v>
      </c>
      <c r="F239">
        <v>27616</v>
      </c>
    </row>
    <row r="240" spans="1:6">
      <c r="A240">
        <v>159900</v>
      </c>
      <c r="B240">
        <v>3</v>
      </c>
      <c r="C240">
        <v>2</v>
      </c>
      <c r="D240">
        <v>1470</v>
      </c>
      <c r="E240">
        <v>19</v>
      </c>
      <c r="F240">
        <v>27616</v>
      </c>
    </row>
    <row r="241" spans="1:6">
      <c r="A241">
        <v>159900</v>
      </c>
      <c r="B241">
        <v>3</v>
      </c>
      <c r="C241">
        <v>2.5</v>
      </c>
      <c r="D241">
        <v>1379</v>
      </c>
      <c r="E241">
        <v>18</v>
      </c>
      <c r="F241">
        <v>27616</v>
      </c>
    </row>
    <row r="242" spans="1:6">
      <c r="A242">
        <v>159900</v>
      </c>
      <c r="B242">
        <v>3</v>
      </c>
      <c r="C242">
        <v>2.5</v>
      </c>
      <c r="D242">
        <v>1747</v>
      </c>
      <c r="E242">
        <v>14</v>
      </c>
      <c r="F242">
        <v>27616</v>
      </c>
    </row>
    <row r="243" spans="1:6">
      <c r="A243">
        <v>159900</v>
      </c>
      <c r="B243">
        <v>3</v>
      </c>
      <c r="C243">
        <v>2.5</v>
      </c>
      <c r="D243">
        <v>1455</v>
      </c>
      <c r="E243">
        <v>16</v>
      </c>
      <c r="F243">
        <v>27604</v>
      </c>
    </row>
    <row r="244" spans="1:6">
      <c r="A244">
        <v>159900</v>
      </c>
      <c r="B244">
        <v>3</v>
      </c>
      <c r="C244">
        <v>2.5</v>
      </c>
      <c r="D244">
        <v>1750</v>
      </c>
      <c r="E244">
        <v>9</v>
      </c>
      <c r="F244">
        <v>27610</v>
      </c>
    </row>
    <row r="245" spans="1:6">
      <c r="A245">
        <v>159900</v>
      </c>
      <c r="B245">
        <v>3</v>
      </c>
      <c r="C245">
        <v>2.5</v>
      </c>
      <c r="D245">
        <v>1752</v>
      </c>
      <c r="E245">
        <v>20</v>
      </c>
      <c r="F245">
        <v>27616</v>
      </c>
    </row>
    <row r="246" spans="1:6">
      <c r="A246">
        <v>159900</v>
      </c>
      <c r="B246">
        <v>3</v>
      </c>
      <c r="C246">
        <v>2</v>
      </c>
      <c r="D246">
        <v>1346</v>
      </c>
      <c r="E246">
        <v>64</v>
      </c>
      <c r="F246">
        <v>27610</v>
      </c>
    </row>
    <row r="247" spans="1:6">
      <c r="A247">
        <v>160000</v>
      </c>
      <c r="B247">
        <v>3</v>
      </c>
      <c r="C247">
        <v>2.5</v>
      </c>
      <c r="D247">
        <v>1880</v>
      </c>
      <c r="E247">
        <v>9</v>
      </c>
      <c r="F247">
        <v>27610</v>
      </c>
    </row>
    <row r="248" spans="1:6">
      <c r="A248">
        <v>160000</v>
      </c>
      <c r="B248">
        <v>4</v>
      </c>
      <c r="C248">
        <v>2.5</v>
      </c>
      <c r="D248">
        <v>1726</v>
      </c>
      <c r="E248">
        <v>15</v>
      </c>
      <c r="F248">
        <v>27610</v>
      </c>
    </row>
    <row r="249" spans="1:6">
      <c r="A249">
        <v>162640</v>
      </c>
      <c r="B249">
        <v>3</v>
      </c>
      <c r="C249">
        <v>2.5</v>
      </c>
      <c r="D249">
        <v>2104</v>
      </c>
      <c r="E249">
        <v>0</v>
      </c>
      <c r="F249">
        <v>27610</v>
      </c>
    </row>
    <row r="250" spans="1:6">
      <c r="A250">
        <v>163000</v>
      </c>
      <c r="B250">
        <v>3</v>
      </c>
      <c r="C250">
        <v>2.5</v>
      </c>
      <c r="D250">
        <v>2294</v>
      </c>
      <c r="E250">
        <v>7</v>
      </c>
      <c r="F250">
        <v>27610</v>
      </c>
    </row>
    <row r="251" spans="1:6">
      <c r="A251">
        <v>163000</v>
      </c>
      <c r="B251">
        <v>3</v>
      </c>
      <c r="C251">
        <v>2.5</v>
      </c>
      <c r="D251">
        <v>2430</v>
      </c>
      <c r="E251">
        <v>9</v>
      </c>
      <c r="F251">
        <v>27610</v>
      </c>
    </row>
    <row r="252" spans="1:6">
      <c r="A252">
        <v>163500</v>
      </c>
      <c r="B252">
        <v>3</v>
      </c>
      <c r="C252">
        <v>2</v>
      </c>
      <c r="D252">
        <v>1600</v>
      </c>
      <c r="E252">
        <v>11</v>
      </c>
      <c r="F252">
        <v>27616</v>
      </c>
    </row>
    <row r="253" spans="1:6">
      <c r="A253">
        <v>164900</v>
      </c>
      <c r="B253">
        <v>3</v>
      </c>
      <c r="C253">
        <v>2</v>
      </c>
      <c r="D253">
        <v>1140</v>
      </c>
      <c r="E253">
        <v>55</v>
      </c>
      <c r="F253">
        <v>27609</v>
      </c>
    </row>
    <row r="254" spans="1:6">
      <c r="A254">
        <v>164900</v>
      </c>
      <c r="B254">
        <v>4</v>
      </c>
      <c r="C254">
        <v>2.5</v>
      </c>
      <c r="D254">
        <v>2199</v>
      </c>
      <c r="E254">
        <v>13</v>
      </c>
      <c r="F254">
        <v>27604</v>
      </c>
    </row>
    <row r="255" spans="1:6">
      <c r="A255">
        <v>164900</v>
      </c>
      <c r="B255">
        <v>3</v>
      </c>
      <c r="C255">
        <v>2.5</v>
      </c>
      <c r="D255">
        <v>1662</v>
      </c>
      <c r="E255">
        <v>19</v>
      </c>
      <c r="F255">
        <v>27610</v>
      </c>
    </row>
    <row r="256" spans="1:6">
      <c r="A256">
        <v>164900</v>
      </c>
      <c r="B256">
        <v>4</v>
      </c>
      <c r="C256">
        <v>2</v>
      </c>
      <c r="D256">
        <v>1621</v>
      </c>
      <c r="E256">
        <v>61</v>
      </c>
      <c r="F256">
        <v>27610</v>
      </c>
    </row>
    <row r="257" spans="1:6">
      <c r="A257">
        <v>164900</v>
      </c>
      <c r="B257">
        <v>3</v>
      </c>
      <c r="C257">
        <v>2</v>
      </c>
      <c r="D257">
        <v>1642</v>
      </c>
      <c r="E257">
        <v>16</v>
      </c>
      <c r="F257">
        <v>27604</v>
      </c>
    </row>
    <row r="258" spans="1:6">
      <c r="A258">
        <v>164990</v>
      </c>
      <c r="B258">
        <v>4</v>
      </c>
      <c r="C258">
        <v>3.5</v>
      </c>
      <c r="D258">
        <v>2410</v>
      </c>
      <c r="E258">
        <v>0</v>
      </c>
      <c r="F258">
        <v>27610</v>
      </c>
    </row>
    <row r="259" spans="1:6">
      <c r="A259">
        <v>165000</v>
      </c>
      <c r="B259">
        <v>3</v>
      </c>
      <c r="C259">
        <v>2.5</v>
      </c>
      <c r="D259">
        <v>1779</v>
      </c>
      <c r="E259">
        <v>57</v>
      </c>
      <c r="F259">
        <v>27607</v>
      </c>
    </row>
    <row r="260" spans="1:6">
      <c r="A260">
        <v>165000</v>
      </c>
      <c r="B260">
        <v>3</v>
      </c>
      <c r="C260">
        <v>2</v>
      </c>
      <c r="D260">
        <v>1419</v>
      </c>
      <c r="E260">
        <v>24</v>
      </c>
      <c r="F260">
        <v>27616</v>
      </c>
    </row>
    <row r="261" spans="1:6">
      <c r="A261">
        <v>165000</v>
      </c>
      <c r="B261">
        <v>5</v>
      </c>
      <c r="C261">
        <v>3</v>
      </c>
      <c r="D261">
        <v>2400</v>
      </c>
      <c r="E261">
        <v>105</v>
      </c>
      <c r="F261">
        <v>27601</v>
      </c>
    </row>
    <row r="262" spans="1:6">
      <c r="A262">
        <v>165000</v>
      </c>
      <c r="B262">
        <v>3</v>
      </c>
      <c r="C262">
        <v>2.5</v>
      </c>
      <c r="D262">
        <v>1723</v>
      </c>
      <c r="E262">
        <v>11</v>
      </c>
      <c r="F262">
        <v>27610</v>
      </c>
    </row>
    <row r="263" spans="1:6">
      <c r="A263">
        <v>165000</v>
      </c>
      <c r="B263">
        <v>3</v>
      </c>
      <c r="C263">
        <v>2.5</v>
      </c>
      <c r="D263">
        <v>1874</v>
      </c>
      <c r="E263">
        <v>8</v>
      </c>
      <c r="F263">
        <v>27610</v>
      </c>
    </row>
    <row r="264" spans="1:6">
      <c r="A264">
        <v>165000</v>
      </c>
      <c r="B264">
        <v>3</v>
      </c>
      <c r="C264">
        <v>2.5</v>
      </c>
      <c r="D264">
        <v>1488</v>
      </c>
      <c r="E264">
        <v>22</v>
      </c>
      <c r="F264">
        <v>27616</v>
      </c>
    </row>
    <row r="265" spans="1:6">
      <c r="A265">
        <v>165800</v>
      </c>
      <c r="B265">
        <v>3</v>
      </c>
      <c r="C265">
        <v>2.5</v>
      </c>
      <c r="D265">
        <v>2060</v>
      </c>
      <c r="E265">
        <v>14</v>
      </c>
      <c r="F265">
        <v>27604</v>
      </c>
    </row>
    <row r="266" spans="1:6">
      <c r="A266">
        <v>166290</v>
      </c>
      <c r="B266">
        <v>4</v>
      </c>
      <c r="C266">
        <v>2.5</v>
      </c>
      <c r="D266">
        <v>2304</v>
      </c>
      <c r="E266">
        <v>0</v>
      </c>
      <c r="F266">
        <v>27610</v>
      </c>
    </row>
    <row r="267" spans="1:6">
      <c r="A267">
        <v>167900</v>
      </c>
      <c r="B267">
        <v>2</v>
      </c>
      <c r="C267">
        <v>1</v>
      </c>
      <c r="D267">
        <v>1135</v>
      </c>
      <c r="E267">
        <v>82</v>
      </c>
      <c r="F267">
        <v>27603</v>
      </c>
    </row>
    <row r="268" spans="1:6">
      <c r="A268">
        <v>167900</v>
      </c>
      <c r="B268">
        <v>3</v>
      </c>
      <c r="C268">
        <v>2.5</v>
      </c>
      <c r="D268">
        <v>1559</v>
      </c>
      <c r="E268">
        <v>10</v>
      </c>
      <c r="F268">
        <v>27616</v>
      </c>
    </row>
    <row r="269" spans="1:6">
      <c r="A269">
        <v>168852</v>
      </c>
      <c r="B269">
        <v>4</v>
      </c>
      <c r="C269">
        <v>2.5</v>
      </c>
      <c r="D269">
        <v>2200</v>
      </c>
      <c r="E269">
        <v>11</v>
      </c>
      <c r="F269">
        <v>27610</v>
      </c>
    </row>
    <row r="270" spans="1:6">
      <c r="A270">
        <v>168900</v>
      </c>
      <c r="B270">
        <v>3</v>
      </c>
      <c r="C270">
        <v>2</v>
      </c>
      <c r="D270">
        <v>1842</v>
      </c>
      <c r="E270">
        <v>53</v>
      </c>
      <c r="F270">
        <v>27604</v>
      </c>
    </row>
    <row r="271" spans="1:6">
      <c r="A271">
        <v>169000</v>
      </c>
      <c r="B271">
        <v>4</v>
      </c>
      <c r="C271">
        <v>2.5</v>
      </c>
      <c r="D271">
        <v>1927</v>
      </c>
      <c r="E271">
        <v>22</v>
      </c>
      <c r="F271">
        <v>27616</v>
      </c>
    </row>
    <row r="272" spans="1:6">
      <c r="A272">
        <v>169900</v>
      </c>
      <c r="B272">
        <v>3</v>
      </c>
      <c r="C272">
        <v>2</v>
      </c>
      <c r="D272">
        <v>1416</v>
      </c>
      <c r="E272">
        <v>20</v>
      </c>
      <c r="F272">
        <v>27603</v>
      </c>
    </row>
    <row r="273" spans="1:6">
      <c r="A273">
        <v>169900</v>
      </c>
      <c r="B273">
        <v>3</v>
      </c>
      <c r="C273">
        <v>2.5</v>
      </c>
      <c r="D273">
        <v>1321</v>
      </c>
      <c r="E273">
        <v>0</v>
      </c>
      <c r="F273">
        <v>27612</v>
      </c>
    </row>
    <row r="274" spans="1:6">
      <c r="A274">
        <v>169900</v>
      </c>
      <c r="B274">
        <v>3</v>
      </c>
      <c r="C274">
        <v>3</v>
      </c>
      <c r="D274">
        <v>1393</v>
      </c>
      <c r="E274">
        <v>14</v>
      </c>
      <c r="F274">
        <v>27607</v>
      </c>
    </row>
    <row r="275" spans="1:6">
      <c r="A275">
        <v>169900</v>
      </c>
      <c r="B275">
        <v>3</v>
      </c>
      <c r="C275">
        <v>2.5</v>
      </c>
      <c r="D275">
        <v>1596</v>
      </c>
      <c r="E275">
        <v>14</v>
      </c>
      <c r="F275">
        <v>27616</v>
      </c>
    </row>
    <row r="276" spans="1:6">
      <c r="A276">
        <v>169900</v>
      </c>
      <c r="B276">
        <v>4</v>
      </c>
      <c r="C276">
        <v>3.5</v>
      </c>
      <c r="D276">
        <v>2820</v>
      </c>
      <c r="E276">
        <v>3</v>
      </c>
      <c r="F276">
        <v>27610</v>
      </c>
    </row>
    <row r="277" spans="1:6">
      <c r="A277">
        <v>169900</v>
      </c>
      <c r="B277">
        <v>3</v>
      </c>
      <c r="C277">
        <v>2</v>
      </c>
      <c r="D277">
        <v>1470</v>
      </c>
      <c r="E277">
        <v>13</v>
      </c>
      <c r="F277">
        <v>27616</v>
      </c>
    </row>
    <row r="278" spans="1:6">
      <c r="A278">
        <v>169900</v>
      </c>
      <c r="B278">
        <v>3</v>
      </c>
      <c r="C278">
        <v>2.5</v>
      </c>
      <c r="D278">
        <v>1835</v>
      </c>
      <c r="E278">
        <v>0</v>
      </c>
      <c r="F278">
        <v>27610</v>
      </c>
    </row>
    <row r="279" spans="1:6">
      <c r="A279">
        <v>169900</v>
      </c>
      <c r="B279">
        <v>4</v>
      </c>
      <c r="C279">
        <v>2.5</v>
      </c>
      <c r="D279">
        <v>1835</v>
      </c>
      <c r="E279">
        <v>0</v>
      </c>
      <c r="F279">
        <v>27610</v>
      </c>
    </row>
    <row r="280" spans="1:6">
      <c r="A280">
        <v>169900</v>
      </c>
      <c r="B280">
        <v>3</v>
      </c>
      <c r="C280">
        <v>2</v>
      </c>
      <c r="D280">
        <v>1754</v>
      </c>
      <c r="E280">
        <v>21</v>
      </c>
      <c r="F280">
        <v>27604</v>
      </c>
    </row>
    <row r="281" spans="1:6">
      <c r="A281">
        <v>169900</v>
      </c>
      <c r="B281">
        <v>3</v>
      </c>
      <c r="C281">
        <v>2</v>
      </c>
      <c r="D281">
        <v>1650</v>
      </c>
      <c r="E281">
        <v>24</v>
      </c>
      <c r="F281">
        <v>27604</v>
      </c>
    </row>
    <row r="282" spans="1:6">
      <c r="A282">
        <v>169900</v>
      </c>
      <c r="B282">
        <v>4</v>
      </c>
      <c r="C282">
        <v>2.5</v>
      </c>
      <c r="D282">
        <v>1826</v>
      </c>
      <c r="E282">
        <v>9</v>
      </c>
      <c r="F282">
        <v>27610</v>
      </c>
    </row>
    <row r="283" spans="1:6">
      <c r="A283">
        <v>170000</v>
      </c>
      <c r="B283">
        <v>2</v>
      </c>
      <c r="C283">
        <v>1</v>
      </c>
      <c r="D283">
        <v>1100</v>
      </c>
      <c r="E283">
        <v>54</v>
      </c>
      <c r="F283">
        <v>27606</v>
      </c>
    </row>
    <row r="284" spans="1:6">
      <c r="A284">
        <v>170000</v>
      </c>
      <c r="B284">
        <v>3</v>
      </c>
      <c r="C284">
        <v>1</v>
      </c>
      <c r="D284">
        <v>2018</v>
      </c>
      <c r="E284">
        <v>64</v>
      </c>
      <c r="F284">
        <v>27610</v>
      </c>
    </row>
    <row r="285" spans="1:6">
      <c r="A285">
        <v>170000</v>
      </c>
      <c r="B285">
        <v>3</v>
      </c>
      <c r="C285">
        <v>2.5</v>
      </c>
      <c r="D285">
        <v>1820</v>
      </c>
      <c r="E285">
        <v>13</v>
      </c>
      <c r="F285">
        <v>27616</v>
      </c>
    </row>
    <row r="286" spans="1:6">
      <c r="A286">
        <v>170000</v>
      </c>
      <c r="B286">
        <v>4</v>
      </c>
      <c r="C286">
        <v>3</v>
      </c>
      <c r="D286">
        <v>3020</v>
      </c>
      <c r="E286">
        <v>10</v>
      </c>
      <c r="F286">
        <v>27610</v>
      </c>
    </row>
    <row r="287" spans="1:6">
      <c r="A287">
        <v>170000</v>
      </c>
      <c r="B287">
        <v>3</v>
      </c>
      <c r="C287">
        <v>1</v>
      </c>
      <c r="D287">
        <v>1346</v>
      </c>
      <c r="E287">
        <v>69</v>
      </c>
      <c r="F287">
        <v>27601</v>
      </c>
    </row>
    <row r="288" spans="1:6">
      <c r="A288">
        <v>171000</v>
      </c>
      <c r="B288">
        <v>4</v>
      </c>
      <c r="C288">
        <v>2.5</v>
      </c>
      <c r="D288">
        <v>1908</v>
      </c>
      <c r="E288">
        <v>12</v>
      </c>
      <c r="F288">
        <v>27616</v>
      </c>
    </row>
    <row r="289" spans="1:6">
      <c r="A289">
        <v>171900</v>
      </c>
      <c r="B289">
        <v>3</v>
      </c>
      <c r="C289">
        <v>2.5</v>
      </c>
      <c r="D289">
        <v>1648</v>
      </c>
      <c r="E289">
        <v>15</v>
      </c>
      <c r="F289">
        <v>27604</v>
      </c>
    </row>
    <row r="290" spans="1:6">
      <c r="A290">
        <v>172000</v>
      </c>
      <c r="B290">
        <v>3</v>
      </c>
      <c r="C290">
        <v>2</v>
      </c>
      <c r="D290">
        <v>1050</v>
      </c>
      <c r="E290">
        <v>15</v>
      </c>
      <c r="F290">
        <v>27617</v>
      </c>
    </row>
    <row r="291" spans="1:6">
      <c r="A291">
        <v>172000</v>
      </c>
      <c r="B291">
        <v>4</v>
      </c>
      <c r="C291">
        <v>2.5</v>
      </c>
      <c r="D291">
        <v>1905</v>
      </c>
      <c r="E291">
        <v>9</v>
      </c>
      <c r="F291">
        <v>27610</v>
      </c>
    </row>
    <row r="292" spans="1:6">
      <c r="A292">
        <v>173000</v>
      </c>
      <c r="B292">
        <v>4</v>
      </c>
      <c r="C292">
        <v>3</v>
      </c>
      <c r="D292">
        <v>2007</v>
      </c>
      <c r="E292">
        <v>16</v>
      </c>
      <c r="F292">
        <v>27616</v>
      </c>
    </row>
    <row r="293" spans="1:6">
      <c r="A293">
        <v>174000</v>
      </c>
      <c r="B293">
        <v>3</v>
      </c>
      <c r="C293">
        <v>3</v>
      </c>
      <c r="D293">
        <v>2200</v>
      </c>
      <c r="E293">
        <v>53</v>
      </c>
      <c r="F293">
        <v>27616</v>
      </c>
    </row>
    <row r="294" spans="1:6">
      <c r="A294">
        <v>174500</v>
      </c>
      <c r="B294">
        <v>4</v>
      </c>
      <c r="C294">
        <v>3</v>
      </c>
      <c r="D294">
        <v>2273</v>
      </c>
      <c r="E294">
        <v>31</v>
      </c>
      <c r="F294">
        <v>27603</v>
      </c>
    </row>
    <row r="295" spans="1:6">
      <c r="A295">
        <v>174900</v>
      </c>
      <c r="B295">
        <v>4</v>
      </c>
      <c r="C295">
        <v>2</v>
      </c>
      <c r="D295">
        <v>1424</v>
      </c>
      <c r="E295">
        <v>56</v>
      </c>
      <c r="F295">
        <v>27606</v>
      </c>
    </row>
    <row r="296" spans="1:6">
      <c r="A296">
        <v>174900</v>
      </c>
      <c r="B296">
        <v>4</v>
      </c>
      <c r="C296">
        <v>3</v>
      </c>
      <c r="D296">
        <v>2540</v>
      </c>
      <c r="E296">
        <v>44</v>
      </c>
      <c r="F296">
        <v>27604</v>
      </c>
    </row>
    <row r="297" spans="1:6">
      <c r="A297">
        <v>174900</v>
      </c>
      <c r="B297">
        <v>3</v>
      </c>
      <c r="C297">
        <v>3</v>
      </c>
      <c r="D297">
        <v>2104</v>
      </c>
      <c r="E297">
        <v>9</v>
      </c>
      <c r="F297">
        <v>27610</v>
      </c>
    </row>
    <row r="298" spans="1:6">
      <c r="A298">
        <v>174900</v>
      </c>
      <c r="B298">
        <v>4</v>
      </c>
      <c r="C298">
        <v>2</v>
      </c>
      <c r="D298">
        <v>1655</v>
      </c>
      <c r="E298">
        <v>12</v>
      </c>
      <c r="F298">
        <v>27616</v>
      </c>
    </row>
    <row r="299" spans="1:6">
      <c r="A299">
        <v>174900</v>
      </c>
      <c r="B299">
        <v>4</v>
      </c>
      <c r="C299">
        <v>2.5</v>
      </c>
      <c r="D299">
        <v>2003</v>
      </c>
      <c r="E299">
        <v>24</v>
      </c>
      <c r="F299">
        <v>27604</v>
      </c>
    </row>
    <row r="300" spans="1:6">
      <c r="A300">
        <v>174900</v>
      </c>
      <c r="B300">
        <v>3</v>
      </c>
      <c r="C300">
        <v>2</v>
      </c>
      <c r="D300">
        <v>1440</v>
      </c>
      <c r="E300">
        <v>32</v>
      </c>
      <c r="F300">
        <v>27615</v>
      </c>
    </row>
    <row r="301" spans="1:6">
      <c r="A301">
        <v>174900</v>
      </c>
      <c r="B301">
        <v>2</v>
      </c>
      <c r="C301">
        <v>1</v>
      </c>
      <c r="D301">
        <v>964</v>
      </c>
      <c r="E301">
        <v>62</v>
      </c>
      <c r="F301">
        <v>27608</v>
      </c>
    </row>
    <row r="302" spans="1:6">
      <c r="A302">
        <v>174900</v>
      </c>
      <c r="B302">
        <v>2</v>
      </c>
      <c r="C302">
        <v>2</v>
      </c>
      <c r="D302">
        <v>895</v>
      </c>
      <c r="E302">
        <v>62</v>
      </c>
      <c r="F302">
        <v>27608</v>
      </c>
    </row>
    <row r="303" spans="1:6">
      <c r="A303">
        <v>175000</v>
      </c>
      <c r="B303">
        <v>3</v>
      </c>
      <c r="C303">
        <v>2.5</v>
      </c>
      <c r="D303">
        <v>1852</v>
      </c>
      <c r="E303">
        <v>12</v>
      </c>
      <c r="F303">
        <v>27616</v>
      </c>
    </row>
    <row r="304" spans="1:6">
      <c r="A304">
        <v>175000</v>
      </c>
      <c r="B304">
        <v>3</v>
      </c>
      <c r="C304">
        <v>2.5</v>
      </c>
      <c r="D304">
        <v>1972</v>
      </c>
      <c r="E304">
        <v>9</v>
      </c>
      <c r="F304">
        <v>27616</v>
      </c>
    </row>
    <row r="305" spans="1:6">
      <c r="A305">
        <v>175000</v>
      </c>
      <c r="B305">
        <v>4</v>
      </c>
      <c r="C305">
        <v>2.5</v>
      </c>
      <c r="D305">
        <v>2293</v>
      </c>
      <c r="E305">
        <v>11</v>
      </c>
      <c r="F305">
        <v>27616</v>
      </c>
    </row>
    <row r="306" spans="1:6">
      <c r="A306">
        <v>175000</v>
      </c>
      <c r="B306">
        <v>3</v>
      </c>
      <c r="C306">
        <v>2.5</v>
      </c>
      <c r="D306">
        <v>1899</v>
      </c>
      <c r="E306">
        <v>27</v>
      </c>
      <c r="F306">
        <v>27545</v>
      </c>
    </row>
    <row r="307" spans="1:6">
      <c r="A307">
        <v>175000</v>
      </c>
      <c r="B307">
        <v>3</v>
      </c>
      <c r="C307">
        <v>2.5</v>
      </c>
      <c r="D307">
        <v>1373</v>
      </c>
      <c r="E307">
        <v>14</v>
      </c>
      <c r="F307">
        <v>27615</v>
      </c>
    </row>
    <row r="308" spans="1:6">
      <c r="A308">
        <v>175000</v>
      </c>
      <c r="B308">
        <v>3</v>
      </c>
      <c r="C308">
        <v>2.5</v>
      </c>
      <c r="D308">
        <v>1620</v>
      </c>
      <c r="E308">
        <v>10</v>
      </c>
      <c r="F308">
        <v>27615</v>
      </c>
    </row>
    <row r="309" spans="1:6">
      <c r="A309">
        <v>175000</v>
      </c>
      <c r="B309">
        <v>4</v>
      </c>
      <c r="C309">
        <v>3.5</v>
      </c>
      <c r="D309">
        <v>1928</v>
      </c>
      <c r="E309">
        <v>43</v>
      </c>
      <c r="F309">
        <v>27604</v>
      </c>
    </row>
    <row r="310" spans="1:6">
      <c r="A310">
        <v>175000</v>
      </c>
      <c r="B310">
        <v>3</v>
      </c>
      <c r="C310">
        <v>2</v>
      </c>
      <c r="D310">
        <v>1600</v>
      </c>
      <c r="E310">
        <v>64</v>
      </c>
      <c r="F310">
        <v>27610</v>
      </c>
    </row>
    <row r="311" spans="1:6">
      <c r="A311">
        <v>175000</v>
      </c>
      <c r="B311">
        <v>3</v>
      </c>
      <c r="C311">
        <v>2.5</v>
      </c>
      <c r="D311">
        <v>2277</v>
      </c>
      <c r="E311">
        <v>9</v>
      </c>
      <c r="F311">
        <v>27610</v>
      </c>
    </row>
    <row r="312" spans="1:6">
      <c r="A312">
        <v>175000</v>
      </c>
      <c r="B312">
        <v>4</v>
      </c>
      <c r="C312">
        <v>2.5</v>
      </c>
      <c r="D312">
        <v>2285</v>
      </c>
      <c r="E312">
        <v>26</v>
      </c>
      <c r="F312">
        <v>27604</v>
      </c>
    </row>
    <row r="313" spans="1:6">
      <c r="A313">
        <v>175990</v>
      </c>
      <c r="B313">
        <v>3</v>
      </c>
      <c r="C313">
        <v>2.5</v>
      </c>
      <c r="D313">
        <v>2357</v>
      </c>
      <c r="E313">
        <v>0</v>
      </c>
      <c r="F313">
        <v>27610</v>
      </c>
    </row>
    <row r="314" spans="1:6">
      <c r="A314">
        <v>177472</v>
      </c>
      <c r="B314">
        <v>4</v>
      </c>
      <c r="C314">
        <v>2.5</v>
      </c>
      <c r="D314">
        <v>1918</v>
      </c>
      <c r="E314">
        <v>1</v>
      </c>
      <c r="F314">
        <v>27610</v>
      </c>
    </row>
    <row r="315" spans="1:6">
      <c r="A315">
        <v>178000</v>
      </c>
      <c r="B315">
        <v>3</v>
      </c>
      <c r="C315">
        <v>2.5</v>
      </c>
      <c r="D315">
        <v>2968</v>
      </c>
      <c r="E315">
        <v>10</v>
      </c>
      <c r="F315">
        <v>27610</v>
      </c>
    </row>
    <row r="316" spans="1:6">
      <c r="A316">
        <v>178500</v>
      </c>
      <c r="B316">
        <v>3</v>
      </c>
      <c r="C316">
        <v>2.5</v>
      </c>
      <c r="D316">
        <v>1820</v>
      </c>
      <c r="E316">
        <v>27</v>
      </c>
      <c r="F316">
        <v>27604</v>
      </c>
    </row>
    <row r="317" spans="1:6">
      <c r="A317">
        <v>179000</v>
      </c>
      <c r="B317">
        <v>4</v>
      </c>
      <c r="C317">
        <v>5</v>
      </c>
      <c r="D317">
        <v>1630</v>
      </c>
      <c r="E317">
        <v>57</v>
      </c>
      <c r="F317">
        <v>27606</v>
      </c>
    </row>
    <row r="318" spans="1:6">
      <c r="A318">
        <v>179000</v>
      </c>
      <c r="B318">
        <v>3</v>
      </c>
      <c r="C318">
        <v>2.5</v>
      </c>
      <c r="D318">
        <v>1325</v>
      </c>
      <c r="E318">
        <v>23</v>
      </c>
      <c r="F318">
        <v>27612</v>
      </c>
    </row>
    <row r="319" spans="1:6">
      <c r="A319">
        <v>179000</v>
      </c>
      <c r="B319">
        <v>1</v>
      </c>
      <c r="C319">
        <v>1</v>
      </c>
      <c r="D319">
        <v>496</v>
      </c>
      <c r="E319">
        <v>92</v>
      </c>
      <c r="F319">
        <v>27608</v>
      </c>
    </row>
    <row r="320" spans="1:6">
      <c r="A320">
        <v>179500</v>
      </c>
      <c r="B320">
        <v>4</v>
      </c>
      <c r="C320">
        <v>2.5</v>
      </c>
      <c r="D320">
        <v>2018</v>
      </c>
      <c r="E320">
        <v>10</v>
      </c>
      <c r="F320">
        <v>27610</v>
      </c>
    </row>
    <row r="321" spans="1:6">
      <c r="A321">
        <v>179900</v>
      </c>
      <c r="B321">
        <v>4</v>
      </c>
      <c r="C321">
        <v>2.5</v>
      </c>
      <c r="D321">
        <v>2200</v>
      </c>
      <c r="E321">
        <v>7</v>
      </c>
      <c r="F321">
        <v>27610</v>
      </c>
    </row>
    <row r="322" spans="1:6">
      <c r="A322">
        <v>179900</v>
      </c>
      <c r="B322">
        <v>3</v>
      </c>
      <c r="C322">
        <v>2.5</v>
      </c>
      <c r="D322">
        <v>1921</v>
      </c>
      <c r="E322">
        <v>20</v>
      </c>
      <c r="F322">
        <v>27616</v>
      </c>
    </row>
    <row r="323" spans="1:6">
      <c r="A323">
        <v>179900</v>
      </c>
      <c r="B323">
        <v>3</v>
      </c>
      <c r="C323">
        <v>2.5</v>
      </c>
      <c r="D323">
        <v>1729</v>
      </c>
      <c r="E323">
        <v>1</v>
      </c>
      <c r="F323">
        <v>27610</v>
      </c>
    </row>
    <row r="324" spans="1:6">
      <c r="A324">
        <v>179900</v>
      </c>
      <c r="B324">
        <v>4</v>
      </c>
      <c r="C324">
        <v>2.5</v>
      </c>
      <c r="D324">
        <v>1859</v>
      </c>
      <c r="E324">
        <v>9</v>
      </c>
      <c r="F324">
        <v>27610</v>
      </c>
    </row>
    <row r="325" spans="1:6">
      <c r="A325">
        <v>179900</v>
      </c>
      <c r="B325">
        <v>4</v>
      </c>
      <c r="C325">
        <v>3</v>
      </c>
      <c r="D325">
        <v>2433</v>
      </c>
      <c r="E325">
        <v>12</v>
      </c>
      <c r="F325">
        <v>27616</v>
      </c>
    </row>
    <row r="326" spans="1:6">
      <c r="A326">
        <v>179900</v>
      </c>
      <c r="B326">
        <v>3</v>
      </c>
      <c r="C326">
        <v>1</v>
      </c>
      <c r="D326">
        <v>1013</v>
      </c>
      <c r="E326">
        <v>48</v>
      </c>
      <c r="F326">
        <v>27610</v>
      </c>
    </row>
    <row r="327" spans="1:6">
      <c r="A327">
        <v>179900</v>
      </c>
      <c r="B327">
        <v>3</v>
      </c>
      <c r="C327">
        <v>2</v>
      </c>
      <c r="D327">
        <v>1494</v>
      </c>
      <c r="E327">
        <v>45</v>
      </c>
      <c r="F327">
        <v>27609</v>
      </c>
    </row>
    <row r="328" spans="1:6">
      <c r="A328">
        <v>179900</v>
      </c>
      <c r="B328">
        <v>3</v>
      </c>
      <c r="C328">
        <v>2.5</v>
      </c>
      <c r="D328">
        <v>1263</v>
      </c>
      <c r="E328">
        <v>21</v>
      </c>
      <c r="F328">
        <v>27587</v>
      </c>
    </row>
    <row r="329" spans="1:6">
      <c r="A329">
        <v>182900</v>
      </c>
      <c r="B329">
        <v>4</v>
      </c>
      <c r="C329">
        <v>2</v>
      </c>
      <c r="D329">
        <v>2728</v>
      </c>
      <c r="E329">
        <v>45</v>
      </c>
      <c r="F329">
        <v>27604</v>
      </c>
    </row>
    <row r="330" spans="1:6">
      <c r="A330">
        <v>183000</v>
      </c>
      <c r="B330">
        <v>4</v>
      </c>
      <c r="C330">
        <v>2.5</v>
      </c>
      <c r="D330">
        <v>2244</v>
      </c>
      <c r="E330">
        <v>54</v>
      </c>
      <c r="F330">
        <v>27610</v>
      </c>
    </row>
    <row r="331" spans="1:6">
      <c r="A331">
        <v>183768</v>
      </c>
      <c r="B331">
        <v>3</v>
      </c>
      <c r="C331">
        <v>2.5</v>
      </c>
      <c r="D331">
        <v>1480</v>
      </c>
      <c r="E331">
        <v>12</v>
      </c>
      <c r="F331">
        <v>27614</v>
      </c>
    </row>
    <row r="332" spans="1:6">
      <c r="A332">
        <v>184900</v>
      </c>
      <c r="B332">
        <v>3</v>
      </c>
      <c r="C332">
        <v>2.5</v>
      </c>
      <c r="D332">
        <v>2734</v>
      </c>
      <c r="E332">
        <v>11</v>
      </c>
      <c r="F332">
        <v>27793</v>
      </c>
    </row>
    <row r="333" spans="1:6">
      <c r="A333">
        <v>184900</v>
      </c>
      <c r="B333">
        <v>3</v>
      </c>
      <c r="C333">
        <v>2.5</v>
      </c>
      <c r="D333">
        <v>1811</v>
      </c>
      <c r="E333">
        <v>9</v>
      </c>
      <c r="F333">
        <v>27616</v>
      </c>
    </row>
    <row r="334" spans="1:6">
      <c r="A334">
        <v>184900</v>
      </c>
      <c r="B334">
        <v>3</v>
      </c>
      <c r="C334">
        <v>1.5</v>
      </c>
      <c r="D334">
        <v>1623</v>
      </c>
      <c r="E334">
        <v>39</v>
      </c>
      <c r="F334">
        <v>27612</v>
      </c>
    </row>
    <row r="335" spans="1:6">
      <c r="A335">
        <v>185000</v>
      </c>
      <c r="B335">
        <v>3</v>
      </c>
      <c r="C335">
        <v>2.5</v>
      </c>
      <c r="D335">
        <v>1635</v>
      </c>
      <c r="E335">
        <v>30</v>
      </c>
      <c r="F335">
        <v>27613</v>
      </c>
    </row>
    <row r="336" spans="1:6">
      <c r="A336">
        <v>185000</v>
      </c>
      <c r="B336">
        <v>3</v>
      </c>
      <c r="C336">
        <v>2.5</v>
      </c>
      <c r="D336">
        <v>2700</v>
      </c>
      <c r="E336">
        <v>10</v>
      </c>
      <c r="F336">
        <v>27610</v>
      </c>
    </row>
    <row r="337" spans="1:6">
      <c r="A337">
        <v>185000</v>
      </c>
      <c r="B337">
        <v>3</v>
      </c>
      <c r="C337">
        <v>1</v>
      </c>
      <c r="D337">
        <v>1032</v>
      </c>
      <c r="E337">
        <v>64</v>
      </c>
      <c r="F337">
        <v>27607</v>
      </c>
    </row>
    <row r="338" spans="1:6">
      <c r="A338">
        <v>185000</v>
      </c>
      <c r="B338">
        <v>3</v>
      </c>
      <c r="C338">
        <v>2.5</v>
      </c>
      <c r="D338">
        <v>1353</v>
      </c>
      <c r="E338">
        <v>14</v>
      </c>
      <c r="F338">
        <v>27614</v>
      </c>
    </row>
    <row r="339" spans="1:6">
      <c r="A339">
        <v>185000</v>
      </c>
      <c r="B339">
        <v>4</v>
      </c>
      <c r="C339">
        <v>2.5</v>
      </c>
      <c r="D339">
        <v>1908</v>
      </c>
      <c r="E339">
        <v>24</v>
      </c>
      <c r="F339">
        <v>27604</v>
      </c>
    </row>
    <row r="340" spans="1:6">
      <c r="A340">
        <v>186000</v>
      </c>
      <c r="B340">
        <v>4</v>
      </c>
      <c r="C340">
        <v>2.5</v>
      </c>
      <c r="D340">
        <v>2184</v>
      </c>
      <c r="E340">
        <v>16</v>
      </c>
      <c r="F340">
        <v>27610</v>
      </c>
    </row>
    <row r="341" spans="1:6">
      <c r="A341">
        <v>187500</v>
      </c>
      <c r="B341">
        <v>5</v>
      </c>
      <c r="C341">
        <v>2.5</v>
      </c>
      <c r="D341">
        <v>2055</v>
      </c>
      <c r="E341">
        <v>6</v>
      </c>
      <c r="F341">
        <v>27610</v>
      </c>
    </row>
    <row r="342" spans="1:6">
      <c r="A342">
        <v>187900</v>
      </c>
      <c r="B342">
        <v>3</v>
      </c>
      <c r="C342">
        <v>2.5</v>
      </c>
      <c r="D342">
        <v>2009</v>
      </c>
      <c r="E342">
        <v>7</v>
      </c>
      <c r="F342">
        <v>27604</v>
      </c>
    </row>
    <row r="343" spans="1:6">
      <c r="A343">
        <v>188500</v>
      </c>
      <c r="B343">
        <v>4</v>
      </c>
      <c r="C343">
        <v>2.5</v>
      </c>
      <c r="D343">
        <v>2370</v>
      </c>
      <c r="E343">
        <v>20</v>
      </c>
      <c r="F343">
        <v>27610</v>
      </c>
    </row>
    <row r="344" spans="1:6">
      <c r="A344">
        <v>188900</v>
      </c>
      <c r="B344">
        <v>3</v>
      </c>
      <c r="C344">
        <v>2</v>
      </c>
      <c r="D344">
        <v>1842</v>
      </c>
      <c r="E344">
        <v>15</v>
      </c>
      <c r="F344">
        <v>27616</v>
      </c>
    </row>
    <row r="345" spans="1:6">
      <c r="A345">
        <v>189000</v>
      </c>
      <c r="B345">
        <v>3</v>
      </c>
      <c r="C345">
        <v>2</v>
      </c>
      <c r="D345">
        <v>1813</v>
      </c>
      <c r="E345">
        <v>0</v>
      </c>
      <c r="F345">
        <v>27610</v>
      </c>
    </row>
    <row r="346" spans="1:6">
      <c r="A346">
        <v>189000</v>
      </c>
      <c r="B346">
        <v>3</v>
      </c>
      <c r="C346">
        <v>2.5</v>
      </c>
      <c r="D346">
        <v>2158</v>
      </c>
      <c r="E346">
        <v>19</v>
      </c>
      <c r="F346">
        <v>27604</v>
      </c>
    </row>
    <row r="347" spans="1:6">
      <c r="A347">
        <v>189000</v>
      </c>
      <c r="B347">
        <v>5</v>
      </c>
      <c r="C347">
        <v>3.5</v>
      </c>
      <c r="D347">
        <v>2687</v>
      </c>
      <c r="E347">
        <v>9</v>
      </c>
      <c r="F347">
        <v>27616</v>
      </c>
    </row>
    <row r="348" spans="1:6">
      <c r="A348">
        <v>189000</v>
      </c>
      <c r="B348">
        <v>4</v>
      </c>
      <c r="C348">
        <v>3</v>
      </c>
      <c r="D348">
        <v>2418</v>
      </c>
      <c r="E348">
        <v>13</v>
      </c>
      <c r="F348">
        <v>27616</v>
      </c>
    </row>
    <row r="349" spans="1:6">
      <c r="A349">
        <v>189900</v>
      </c>
      <c r="B349">
        <v>3</v>
      </c>
      <c r="C349">
        <v>2</v>
      </c>
      <c r="D349">
        <v>1617</v>
      </c>
      <c r="E349">
        <v>41</v>
      </c>
      <c r="F349">
        <v>27609</v>
      </c>
    </row>
    <row r="350" spans="1:6">
      <c r="A350">
        <v>189900</v>
      </c>
      <c r="B350">
        <v>4</v>
      </c>
      <c r="C350">
        <v>2.5</v>
      </c>
      <c r="D350">
        <v>1910</v>
      </c>
      <c r="E350">
        <v>19</v>
      </c>
      <c r="F350">
        <v>27616</v>
      </c>
    </row>
    <row r="351" spans="1:6">
      <c r="A351">
        <v>189900</v>
      </c>
      <c r="B351">
        <v>4</v>
      </c>
      <c r="C351">
        <v>2.5</v>
      </c>
      <c r="D351">
        <v>2046</v>
      </c>
      <c r="E351">
        <v>23</v>
      </c>
      <c r="F351">
        <v>27616</v>
      </c>
    </row>
    <row r="352" spans="1:6">
      <c r="A352">
        <v>189900</v>
      </c>
      <c r="B352">
        <v>4</v>
      </c>
      <c r="C352">
        <v>2</v>
      </c>
      <c r="D352">
        <v>1648</v>
      </c>
      <c r="E352">
        <v>45</v>
      </c>
      <c r="F352">
        <v>27609</v>
      </c>
    </row>
    <row r="353" spans="1:6">
      <c r="A353">
        <v>190000</v>
      </c>
      <c r="B353">
        <v>4</v>
      </c>
      <c r="C353">
        <v>2.5</v>
      </c>
      <c r="D353">
        <v>1900</v>
      </c>
      <c r="E353">
        <v>45</v>
      </c>
      <c r="F353">
        <v>27609</v>
      </c>
    </row>
    <row r="354" spans="1:6">
      <c r="A354">
        <v>190000</v>
      </c>
      <c r="B354">
        <v>3</v>
      </c>
      <c r="C354">
        <v>1.5</v>
      </c>
      <c r="D354">
        <v>1614</v>
      </c>
      <c r="E354">
        <v>46</v>
      </c>
      <c r="F354">
        <v>27609</v>
      </c>
    </row>
    <row r="355" spans="1:6">
      <c r="A355">
        <v>190000</v>
      </c>
      <c r="B355">
        <v>4</v>
      </c>
      <c r="C355">
        <v>2.5</v>
      </c>
      <c r="D355">
        <v>2000</v>
      </c>
      <c r="E355">
        <v>15</v>
      </c>
      <c r="F355">
        <v>27604</v>
      </c>
    </row>
    <row r="356" spans="1:6">
      <c r="A356">
        <v>194900</v>
      </c>
      <c r="B356">
        <v>3</v>
      </c>
      <c r="C356">
        <v>2.5</v>
      </c>
      <c r="D356">
        <v>1860</v>
      </c>
      <c r="E356">
        <v>9</v>
      </c>
      <c r="F356">
        <v>27616</v>
      </c>
    </row>
    <row r="357" spans="1:6">
      <c r="A357">
        <v>194900</v>
      </c>
      <c r="B357">
        <v>3</v>
      </c>
      <c r="C357">
        <v>2.5</v>
      </c>
      <c r="D357">
        <v>2088</v>
      </c>
      <c r="E357">
        <v>15</v>
      </c>
      <c r="F357">
        <v>27604</v>
      </c>
    </row>
    <row r="358" spans="1:6">
      <c r="A358">
        <v>194900</v>
      </c>
      <c r="B358">
        <v>2</v>
      </c>
      <c r="C358">
        <v>2</v>
      </c>
      <c r="D358">
        <v>1045</v>
      </c>
      <c r="E358">
        <v>84</v>
      </c>
      <c r="F358">
        <v>27601</v>
      </c>
    </row>
    <row r="359" spans="1:6">
      <c r="A359">
        <v>195000</v>
      </c>
      <c r="B359">
        <v>3</v>
      </c>
      <c r="C359">
        <v>2</v>
      </c>
      <c r="D359">
        <v>1467</v>
      </c>
      <c r="E359">
        <v>47</v>
      </c>
      <c r="F359">
        <v>27606</v>
      </c>
    </row>
    <row r="360" spans="1:6">
      <c r="A360">
        <v>195000</v>
      </c>
      <c r="B360">
        <v>3</v>
      </c>
      <c r="C360">
        <v>2.5</v>
      </c>
      <c r="D360">
        <v>1885</v>
      </c>
      <c r="E360">
        <v>15</v>
      </c>
      <c r="F360">
        <v>27604</v>
      </c>
    </row>
    <row r="361" spans="1:6">
      <c r="A361">
        <v>195000</v>
      </c>
      <c r="B361">
        <v>4</v>
      </c>
      <c r="C361">
        <v>2.5</v>
      </c>
      <c r="D361">
        <v>2120</v>
      </c>
      <c r="E361">
        <v>20</v>
      </c>
      <c r="F361">
        <v>27604</v>
      </c>
    </row>
    <row r="362" spans="1:6">
      <c r="A362">
        <v>195000</v>
      </c>
      <c r="B362">
        <v>3</v>
      </c>
      <c r="C362">
        <v>2.5</v>
      </c>
      <c r="D362">
        <v>2066</v>
      </c>
      <c r="E362">
        <v>12</v>
      </c>
      <c r="F362">
        <v>27616</v>
      </c>
    </row>
    <row r="363" spans="1:6">
      <c r="A363">
        <v>195000</v>
      </c>
      <c r="B363">
        <v>3</v>
      </c>
      <c r="C363">
        <v>2.5</v>
      </c>
      <c r="D363">
        <v>2184</v>
      </c>
      <c r="E363">
        <v>19</v>
      </c>
      <c r="F363">
        <v>27616</v>
      </c>
    </row>
    <row r="364" spans="1:6">
      <c r="A364">
        <v>195000</v>
      </c>
      <c r="B364">
        <v>4</v>
      </c>
      <c r="C364">
        <v>2.5</v>
      </c>
      <c r="D364">
        <v>2100</v>
      </c>
      <c r="E364">
        <v>14</v>
      </c>
      <c r="F364">
        <v>27604</v>
      </c>
    </row>
    <row r="365" spans="1:6">
      <c r="A365">
        <v>195000</v>
      </c>
      <c r="B365">
        <v>3</v>
      </c>
      <c r="C365">
        <v>2</v>
      </c>
      <c r="D365">
        <v>1259</v>
      </c>
      <c r="E365">
        <v>19</v>
      </c>
      <c r="F365">
        <v>27615</v>
      </c>
    </row>
    <row r="366" spans="1:6">
      <c r="A366">
        <v>195840</v>
      </c>
      <c r="B366">
        <v>3</v>
      </c>
      <c r="C366">
        <v>2.5</v>
      </c>
      <c r="D366">
        <v>2283</v>
      </c>
      <c r="E366">
        <v>1</v>
      </c>
      <c r="F366">
        <v>27527</v>
      </c>
    </row>
    <row r="367" spans="1:6">
      <c r="A367">
        <v>196900</v>
      </c>
      <c r="B367">
        <v>4</v>
      </c>
      <c r="C367">
        <v>2.5</v>
      </c>
      <c r="D367">
        <v>2574</v>
      </c>
      <c r="E367">
        <v>20</v>
      </c>
      <c r="F367">
        <v>27604</v>
      </c>
    </row>
    <row r="368" spans="1:6">
      <c r="A368">
        <v>196999</v>
      </c>
      <c r="B368">
        <v>4</v>
      </c>
      <c r="C368">
        <v>2.5</v>
      </c>
      <c r="D368">
        <v>2508</v>
      </c>
      <c r="E368">
        <v>8</v>
      </c>
      <c r="F368">
        <v>27610</v>
      </c>
    </row>
    <row r="369" spans="1:6">
      <c r="A369">
        <v>197000</v>
      </c>
      <c r="B369">
        <v>3</v>
      </c>
      <c r="C369">
        <v>2</v>
      </c>
      <c r="D369">
        <v>1364</v>
      </c>
      <c r="E369">
        <v>11</v>
      </c>
      <c r="F369">
        <v>27612</v>
      </c>
    </row>
    <row r="370" spans="1:6">
      <c r="A370">
        <v>197900</v>
      </c>
      <c r="B370">
        <v>3</v>
      </c>
      <c r="C370">
        <v>2.5</v>
      </c>
      <c r="D370">
        <v>1782</v>
      </c>
      <c r="E370">
        <v>14</v>
      </c>
      <c r="F370">
        <v>27613</v>
      </c>
    </row>
    <row r="371" spans="1:6">
      <c r="A371">
        <v>199000</v>
      </c>
      <c r="B371">
        <v>3</v>
      </c>
      <c r="C371">
        <v>2.5</v>
      </c>
      <c r="D371">
        <v>1525</v>
      </c>
      <c r="E371">
        <v>20</v>
      </c>
      <c r="F371">
        <v>27615</v>
      </c>
    </row>
    <row r="372" spans="1:6">
      <c r="A372">
        <v>199000</v>
      </c>
      <c r="B372">
        <v>4</v>
      </c>
      <c r="C372">
        <v>2.5</v>
      </c>
      <c r="D372">
        <v>2642</v>
      </c>
      <c r="E372">
        <v>7</v>
      </c>
      <c r="F372">
        <v>27610</v>
      </c>
    </row>
    <row r="373" spans="1:6">
      <c r="A373">
        <v>199400</v>
      </c>
      <c r="B373">
        <v>4</v>
      </c>
      <c r="C373">
        <v>2.5</v>
      </c>
      <c r="D373">
        <v>2551</v>
      </c>
      <c r="E373">
        <v>7</v>
      </c>
      <c r="F373">
        <v>27604</v>
      </c>
    </row>
    <row r="374" spans="1:6">
      <c r="A374">
        <v>199835</v>
      </c>
      <c r="B374">
        <v>3</v>
      </c>
      <c r="C374">
        <v>2.5</v>
      </c>
      <c r="D374">
        <v>1707</v>
      </c>
      <c r="E374">
        <v>1</v>
      </c>
      <c r="F374">
        <v>27616</v>
      </c>
    </row>
    <row r="375" spans="1:6">
      <c r="A375">
        <v>199900</v>
      </c>
      <c r="B375">
        <v>3</v>
      </c>
      <c r="C375">
        <v>2.5</v>
      </c>
      <c r="D375">
        <v>1725</v>
      </c>
      <c r="E375">
        <v>17</v>
      </c>
      <c r="F375">
        <v>27613</v>
      </c>
    </row>
    <row r="376" spans="1:6">
      <c r="A376">
        <v>199900</v>
      </c>
      <c r="B376">
        <v>3</v>
      </c>
      <c r="C376">
        <v>2.5</v>
      </c>
      <c r="D376">
        <v>2000</v>
      </c>
      <c r="E376">
        <v>14</v>
      </c>
      <c r="F376">
        <v>27616</v>
      </c>
    </row>
    <row r="377" spans="1:6">
      <c r="A377">
        <v>199900</v>
      </c>
      <c r="B377">
        <v>4</v>
      </c>
      <c r="C377">
        <v>2.5</v>
      </c>
      <c r="D377">
        <v>2178</v>
      </c>
      <c r="E377">
        <v>20</v>
      </c>
      <c r="F377">
        <v>27604</v>
      </c>
    </row>
    <row r="378" spans="1:6">
      <c r="A378">
        <v>199900</v>
      </c>
      <c r="B378">
        <v>4</v>
      </c>
      <c r="C378">
        <v>2.5</v>
      </c>
      <c r="D378">
        <v>2202</v>
      </c>
      <c r="E378">
        <v>1</v>
      </c>
      <c r="F378">
        <v>27610</v>
      </c>
    </row>
    <row r="379" spans="1:6">
      <c r="A379">
        <v>199900</v>
      </c>
      <c r="B379">
        <v>3</v>
      </c>
      <c r="C379">
        <v>2.5</v>
      </c>
      <c r="D379">
        <v>1930</v>
      </c>
      <c r="E379">
        <v>28</v>
      </c>
      <c r="F379">
        <v>27615</v>
      </c>
    </row>
    <row r="380" spans="1:6">
      <c r="A380">
        <v>199900</v>
      </c>
      <c r="B380">
        <v>3</v>
      </c>
      <c r="C380">
        <v>2.5</v>
      </c>
      <c r="D380">
        <v>1771</v>
      </c>
      <c r="E380">
        <v>15</v>
      </c>
      <c r="F380">
        <v>27615</v>
      </c>
    </row>
    <row r="381" spans="1:6">
      <c r="A381">
        <v>199900</v>
      </c>
      <c r="B381">
        <v>3</v>
      </c>
      <c r="C381">
        <v>2.5</v>
      </c>
      <c r="D381">
        <v>2357</v>
      </c>
      <c r="E381">
        <v>1</v>
      </c>
      <c r="F381">
        <v>27616</v>
      </c>
    </row>
    <row r="382" spans="1:6">
      <c r="A382">
        <v>199900</v>
      </c>
      <c r="B382">
        <v>3</v>
      </c>
      <c r="C382">
        <v>1</v>
      </c>
      <c r="D382">
        <v>1386</v>
      </c>
      <c r="E382">
        <v>56</v>
      </c>
      <c r="F382">
        <v>27604</v>
      </c>
    </row>
    <row r="383" spans="1:6">
      <c r="A383">
        <v>199900</v>
      </c>
      <c r="B383">
        <v>3</v>
      </c>
      <c r="C383">
        <v>2</v>
      </c>
      <c r="D383">
        <v>1202</v>
      </c>
      <c r="E383">
        <v>84</v>
      </c>
      <c r="F383">
        <v>27601</v>
      </c>
    </row>
    <row r="384" spans="1:6">
      <c r="A384">
        <v>199990</v>
      </c>
      <c r="B384">
        <v>4</v>
      </c>
      <c r="C384">
        <v>2.5</v>
      </c>
      <c r="D384">
        <v>1900</v>
      </c>
      <c r="E384">
        <v>0</v>
      </c>
      <c r="F384">
        <v>27616</v>
      </c>
    </row>
    <row r="385" spans="1:6">
      <c r="A385">
        <v>199999</v>
      </c>
      <c r="B385">
        <v>3</v>
      </c>
      <c r="C385">
        <v>2.5</v>
      </c>
      <c r="D385">
        <v>1884</v>
      </c>
      <c r="E385">
        <v>17</v>
      </c>
      <c r="F385">
        <v>27616</v>
      </c>
    </row>
    <row r="386" spans="1:6">
      <c r="A386">
        <v>200000</v>
      </c>
      <c r="B386">
        <v>3</v>
      </c>
      <c r="C386">
        <v>2.5</v>
      </c>
      <c r="D386">
        <v>1764</v>
      </c>
      <c r="E386">
        <v>15</v>
      </c>
      <c r="F386">
        <v>27613</v>
      </c>
    </row>
    <row r="387" spans="1:6">
      <c r="A387">
        <v>200000</v>
      </c>
      <c r="B387">
        <v>3</v>
      </c>
      <c r="C387">
        <v>2.5</v>
      </c>
      <c r="D387">
        <v>1773</v>
      </c>
      <c r="E387">
        <v>27</v>
      </c>
      <c r="F387">
        <v>27615</v>
      </c>
    </row>
    <row r="388" spans="1:6">
      <c r="A388">
        <v>200000</v>
      </c>
      <c r="B388">
        <v>3</v>
      </c>
      <c r="C388">
        <v>2.5</v>
      </c>
      <c r="D388">
        <v>1904</v>
      </c>
      <c r="E388">
        <v>10</v>
      </c>
      <c r="F388">
        <v>27604</v>
      </c>
    </row>
    <row r="389" spans="1:6">
      <c r="A389">
        <v>202710</v>
      </c>
      <c r="B389">
        <v>3</v>
      </c>
      <c r="C389">
        <v>2.5</v>
      </c>
      <c r="D389">
        <v>1795</v>
      </c>
      <c r="E389">
        <v>1</v>
      </c>
      <c r="F389">
        <v>27526</v>
      </c>
    </row>
    <row r="390" spans="1:6">
      <c r="A390">
        <v>204825</v>
      </c>
      <c r="B390">
        <v>3</v>
      </c>
      <c r="C390">
        <v>2.5</v>
      </c>
      <c r="D390">
        <v>1775</v>
      </c>
      <c r="E390">
        <v>1</v>
      </c>
      <c r="F390">
        <v>27527</v>
      </c>
    </row>
    <row r="391" spans="1:6">
      <c r="A391">
        <v>206000</v>
      </c>
      <c r="B391">
        <v>3</v>
      </c>
      <c r="C391">
        <v>2.5</v>
      </c>
      <c r="D391">
        <v>2224</v>
      </c>
      <c r="E391">
        <v>1</v>
      </c>
      <c r="F391">
        <v>27616</v>
      </c>
    </row>
    <row r="392" spans="1:6">
      <c r="A392">
        <v>207300</v>
      </c>
      <c r="B392">
        <v>3</v>
      </c>
      <c r="C392">
        <v>1.5</v>
      </c>
      <c r="D392">
        <v>1405</v>
      </c>
      <c r="E392">
        <v>57</v>
      </c>
      <c r="F392">
        <v>27604</v>
      </c>
    </row>
    <row r="393" spans="1:6">
      <c r="A393">
        <v>208000</v>
      </c>
      <c r="B393">
        <v>3</v>
      </c>
      <c r="C393">
        <v>2.5</v>
      </c>
      <c r="D393">
        <v>1500</v>
      </c>
      <c r="E393">
        <v>0</v>
      </c>
      <c r="F393">
        <v>27610</v>
      </c>
    </row>
    <row r="394" spans="1:6">
      <c r="A394">
        <v>208305</v>
      </c>
      <c r="B394">
        <v>4</v>
      </c>
      <c r="C394">
        <v>2.5</v>
      </c>
      <c r="D394">
        <v>2422</v>
      </c>
      <c r="E394">
        <v>0</v>
      </c>
      <c r="F394">
        <v>27616</v>
      </c>
    </row>
    <row r="395" spans="1:6">
      <c r="A395">
        <v>208620</v>
      </c>
      <c r="B395">
        <v>4</v>
      </c>
      <c r="C395">
        <v>2.5</v>
      </c>
      <c r="D395">
        <v>2422</v>
      </c>
      <c r="E395">
        <v>0</v>
      </c>
      <c r="F395">
        <v>27616</v>
      </c>
    </row>
    <row r="396" spans="1:6">
      <c r="A396">
        <v>209000</v>
      </c>
      <c r="B396">
        <v>3</v>
      </c>
      <c r="C396">
        <v>2</v>
      </c>
      <c r="D396">
        <v>1464</v>
      </c>
      <c r="E396">
        <v>34</v>
      </c>
      <c r="F396">
        <v>27616</v>
      </c>
    </row>
    <row r="397" spans="1:6">
      <c r="A397">
        <v>209850</v>
      </c>
      <c r="B397">
        <v>4</v>
      </c>
      <c r="C397">
        <v>2.5</v>
      </c>
      <c r="D397">
        <v>2078</v>
      </c>
      <c r="E397">
        <v>3</v>
      </c>
      <c r="F397">
        <v>27616</v>
      </c>
    </row>
    <row r="398" spans="1:6">
      <c r="A398">
        <v>209900</v>
      </c>
      <c r="B398">
        <v>2</v>
      </c>
      <c r="C398">
        <v>1</v>
      </c>
      <c r="D398">
        <v>972</v>
      </c>
      <c r="E398">
        <v>64</v>
      </c>
      <c r="F398">
        <v>27604</v>
      </c>
    </row>
    <row r="399" spans="1:6">
      <c r="A399">
        <v>210000</v>
      </c>
      <c r="B399">
        <v>3</v>
      </c>
      <c r="C399">
        <v>2.5</v>
      </c>
      <c r="D399">
        <v>2185</v>
      </c>
      <c r="E399">
        <v>45</v>
      </c>
      <c r="F399">
        <v>27604</v>
      </c>
    </row>
    <row r="400" spans="1:6">
      <c r="A400">
        <v>212000</v>
      </c>
      <c r="B400">
        <v>3</v>
      </c>
      <c r="C400">
        <v>3</v>
      </c>
      <c r="D400">
        <v>2900</v>
      </c>
      <c r="E400">
        <v>10</v>
      </c>
      <c r="F400">
        <v>27604</v>
      </c>
    </row>
    <row r="401" spans="1:6">
      <c r="A401">
        <v>212500</v>
      </c>
      <c r="B401">
        <v>3</v>
      </c>
      <c r="C401">
        <v>2.5</v>
      </c>
      <c r="D401">
        <v>1677</v>
      </c>
      <c r="E401">
        <v>21</v>
      </c>
      <c r="F401">
        <v>27613</v>
      </c>
    </row>
    <row r="402" spans="1:6">
      <c r="A402">
        <v>212500</v>
      </c>
      <c r="B402">
        <v>4</v>
      </c>
      <c r="C402">
        <v>3</v>
      </c>
      <c r="D402">
        <v>2042</v>
      </c>
      <c r="E402">
        <v>33</v>
      </c>
      <c r="F402">
        <v>27613</v>
      </c>
    </row>
    <row r="403" spans="1:6">
      <c r="A403">
        <v>213000</v>
      </c>
      <c r="B403">
        <v>4</v>
      </c>
      <c r="C403">
        <v>3</v>
      </c>
      <c r="D403">
        <v>2362</v>
      </c>
      <c r="E403">
        <v>13</v>
      </c>
      <c r="F403">
        <v>27616</v>
      </c>
    </row>
    <row r="404" spans="1:6">
      <c r="A404">
        <v>214000</v>
      </c>
      <c r="B404">
        <v>3</v>
      </c>
      <c r="C404">
        <v>2.5</v>
      </c>
      <c r="D404">
        <v>2108</v>
      </c>
      <c r="E404">
        <v>19</v>
      </c>
      <c r="F404">
        <v>27616</v>
      </c>
    </row>
    <row r="405" spans="1:6">
      <c r="A405">
        <v>214805</v>
      </c>
      <c r="B405">
        <v>3</v>
      </c>
      <c r="C405">
        <v>2</v>
      </c>
      <c r="D405">
        <v>2076</v>
      </c>
      <c r="E405">
        <v>1</v>
      </c>
      <c r="F405">
        <v>27526</v>
      </c>
    </row>
    <row r="406" spans="1:6">
      <c r="A406">
        <v>214900</v>
      </c>
      <c r="B406">
        <v>4</v>
      </c>
      <c r="C406">
        <v>2.5</v>
      </c>
      <c r="D406">
        <v>2351</v>
      </c>
      <c r="E406">
        <v>11</v>
      </c>
      <c r="F406">
        <v>27703</v>
      </c>
    </row>
    <row r="407" spans="1:6">
      <c r="A407">
        <v>214900</v>
      </c>
      <c r="B407">
        <v>3</v>
      </c>
      <c r="C407">
        <v>2.5</v>
      </c>
      <c r="D407">
        <v>1636</v>
      </c>
      <c r="E407">
        <v>27</v>
      </c>
      <c r="F407">
        <v>27615</v>
      </c>
    </row>
    <row r="408" spans="1:6">
      <c r="A408">
        <v>214900</v>
      </c>
      <c r="B408">
        <v>3</v>
      </c>
      <c r="C408">
        <v>2.5</v>
      </c>
      <c r="D408">
        <v>1978</v>
      </c>
      <c r="E408">
        <v>22</v>
      </c>
      <c r="F408">
        <v>27615</v>
      </c>
    </row>
    <row r="409" spans="1:6">
      <c r="A409">
        <v>214975</v>
      </c>
      <c r="B409">
        <v>3</v>
      </c>
      <c r="C409">
        <v>2.5</v>
      </c>
      <c r="D409">
        <v>1602</v>
      </c>
      <c r="E409">
        <v>24</v>
      </c>
      <c r="F409">
        <v>27613</v>
      </c>
    </row>
    <row r="410" spans="1:6">
      <c r="A410">
        <v>214990</v>
      </c>
      <c r="B410">
        <v>4</v>
      </c>
      <c r="C410">
        <v>2.5</v>
      </c>
      <c r="D410">
        <v>2535</v>
      </c>
      <c r="E410">
        <v>0</v>
      </c>
      <c r="F410">
        <v>27616</v>
      </c>
    </row>
    <row r="411" spans="1:6">
      <c r="A411">
        <v>215000</v>
      </c>
      <c r="B411">
        <v>3</v>
      </c>
      <c r="C411">
        <v>2.5</v>
      </c>
      <c r="D411">
        <v>1966</v>
      </c>
      <c r="E411">
        <v>26</v>
      </c>
      <c r="F411">
        <v>27613</v>
      </c>
    </row>
    <row r="412" spans="1:6">
      <c r="A412">
        <v>215000</v>
      </c>
      <c r="B412">
        <v>4</v>
      </c>
      <c r="C412">
        <v>2.5</v>
      </c>
      <c r="D412">
        <v>2071</v>
      </c>
      <c r="E412">
        <v>19</v>
      </c>
      <c r="F412">
        <v>27615</v>
      </c>
    </row>
    <row r="413" spans="1:6">
      <c r="A413">
        <v>215000</v>
      </c>
      <c r="B413">
        <v>4</v>
      </c>
      <c r="C413">
        <v>3</v>
      </c>
      <c r="D413">
        <v>2250</v>
      </c>
      <c r="E413">
        <v>55</v>
      </c>
      <c r="F413">
        <v>27616</v>
      </c>
    </row>
    <row r="414" spans="1:6">
      <c r="A414">
        <v>215000</v>
      </c>
      <c r="B414">
        <v>3</v>
      </c>
      <c r="C414">
        <v>2.5</v>
      </c>
      <c r="D414">
        <v>1600</v>
      </c>
      <c r="E414">
        <v>0</v>
      </c>
      <c r="F414">
        <v>27610</v>
      </c>
    </row>
    <row r="415" spans="1:6">
      <c r="A415">
        <v>217500</v>
      </c>
      <c r="B415">
        <v>4</v>
      </c>
      <c r="C415">
        <v>2.5</v>
      </c>
      <c r="D415">
        <v>2381</v>
      </c>
      <c r="E415">
        <v>10</v>
      </c>
      <c r="F415">
        <v>27616</v>
      </c>
    </row>
    <row r="416" spans="1:6">
      <c r="A416">
        <v>219000</v>
      </c>
      <c r="B416">
        <v>3</v>
      </c>
      <c r="C416">
        <v>2.5</v>
      </c>
      <c r="D416">
        <v>2927</v>
      </c>
      <c r="E416">
        <v>9</v>
      </c>
      <c r="F416">
        <v>27610</v>
      </c>
    </row>
    <row r="417" spans="1:6">
      <c r="A417">
        <v>219900</v>
      </c>
      <c r="B417">
        <v>3</v>
      </c>
      <c r="C417">
        <v>2.5</v>
      </c>
      <c r="D417">
        <v>1858</v>
      </c>
      <c r="E417">
        <v>20</v>
      </c>
      <c r="F417">
        <v>27613</v>
      </c>
    </row>
    <row r="418" spans="1:6">
      <c r="A418">
        <v>219900</v>
      </c>
      <c r="B418">
        <v>3</v>
      </c>
      <c r="C418">
        <v>2.5</v>
      </c>
      <c r="D418">
        <v>1637</v>
      </c>
      <c r="E418">
        <v>23</v>
      </c>
      <c r="F418">
        <v>27613</v>
      </c>
    </row>
    <row r="419" spans="1:6">
      <c r="A419">
        <v>219900</v>
      </c>
      <c r="B419">
        <v>3</v>
      </c>
      <c r="C419">
        <v>2.5</v>
      </c>
      <c r="D419">
        <v>2646</v>
      </c>
      <c r="E419">
        <v>15</v>
      </c>
      <c r="F419">
        <v>27616</v>
      </c>
    </row>
    <row r="420" spans="1:6">
      <c r="A420">
        <v>219900</v>
      </c>
      <c r="B420">
        <v>3</v>
      </c>
      <c r="C420">
        <v>2.5</v>
      </c>
      <c r="D420">
        <v>2343</v>
      </c>
      <c r="E420">
        <v>0</v>
      </c>
      <c r="F420">
        <v>27616</v>
      </c>
    </row>
    <row r="421" spans="1:6">
      <c r="A421">
        <v>219900</v>
      </c>
      <c r="B421">
        <v>4</v>
      </c>
      <c r="C421">
        <v>2.5</v>
      </c>
      <c r="D421">
        <v>1998</v>
      </c>
      <c r="E421">
        <v>9</v>
      </c>
      <c r="F421">
        <v>27616</v>
      </c>
    </row>
    <row r="422" spans="1:6">
      <c r="A422">
        <v>219900</v>
      </c>
      <c r="B422">
        <v>4</v>
      </c>
      <c r="C422">
        <v>2.5</v>
      </c>
      <c r="D422">
        <v>2206</v>
      </c>
      <c r="E422">
        <v>17</v>
      </c>
      <c r="F422">
        <v>27604</v>
      </c>
    </row>
    <row r="423" spans="1:6">
      <c r="A423">
        <v>219900</v>
      </c>
      <c r="B423">
        <v>3</v>
      </c>
      <c r="C423">
        <v>2.5</v>
      </c>
      <c r="D423">
        <v>1705</v>
      </c>
      <c r="E423">
        <v>27</v>
      </c>
      <c r="F423">
        <v>27615</v>
      </c>
    </row>
    <row r="424" spans="1:6">
      <c r="A424">
        <v>219900</v>
      </c>
      <c r="B424">
        <v>3</v>
      </c>
      <c r="C424">
        <v>2.5</v>
      </c>
      <c r="D424">
        <v>1945</v>
      </c>
      <c r="E424">
        <v>17</v>
      </c>
      <c r="F424">
        <v>27615</v>
      </c>
    </row>
    <row r="425" spans="1:6">
      <c r="A425">
        <v>219900</v>
      </c>
      <c r="B425">
        <v>3</v>
      </c>
      <c r="C425">
        <v>2.5</v>
      </c>
      <c r="D425">
        <v>1881</v>
      </c>
      <c r="E425">
        <v>2</v>
      </c>
      <c r="F425">
        <v>27616</v>
      </c>
    </row>
    <row r="426" spans="1:6">
      <c r="A426">
        <v>219900</v>
      </c>
      <c r="B426">
        <v>3</v>
      </c>
      <c r="C426">
        <v>2.5</v>
      </c>
      <c r="D426">
        <v>2002</v>
      </c>
      <c r="E426">
        <v>20</v>
      </c>
      <c r="F426">
        <v>27604</v>
      </c>
    </row>
    <row r="427" spans="1:6">
      <c r="A427">
        <v>219900</v>
      </c>
      <c r="B427">
        <v>3</v>
      </c>
      <c r="C427">
        <v>1.5</v>
      </c>
      <c r="D427">
        <v>975</v>
      </c>
      <c r="E427">
        <v>58</v>
      </c>
      <c r="F427">
        <v>27604</v>
      </c>
    </row>
    <row r="428" spans="1:6">
      <c r="A428">
        <v>219990</v>
      </c>
      <c r="B428">
        <v>4</v>
      </c>
      <c r="C428">
        <v>2.5</v>
      </c>
      <c r="D428">
        <v>2147</v>
      </c>
      <c r="E428">
        <v>1</v>
      </c>
      <c r="F428">
        <v>27616</v>
      </c>
    </row>
    <row r="429" spans="1:6">
      <c r="A429">
        <v>219997</v>
      </c>
      <c r="B429">
        <v>2</v>
      </c>
      <c r="C429">
        <v>1</v>
      </c>
      <c r="D429">
        <v>738</v>
      </c>
      <c r="E429">
        <v>84</v>
      </c>
      <c r="F429">
        <v>27607</v>
      </c>
    </row>
    <row r="430" spans="1:6">
      <c r="A430">
        <v>220000</v>
      </c>
      <c r="B430">
        <v>4</v>
      </c>
      <c r="C430">
        <v>2.5</v>
      </c>
      <c r="D430">
        <v>2108</v>
      </c>
      <c r="E430">
        <v>49</v>
      </c>
      <c r="F430">
        <v>27612</v>
      </c>
    </row>
    <row r="431" spans="1:6">
      <c r="A431">
        <v>220000</v>
      </c>
      <c r="B431">
        <v>4</v>
      </c>
      <c r="C431">
        <v>2</v>
      </c>
      <c r="D431">
        <v>1602</v>
      </c>
      <c r="E431">
        <v>64</v>
      </c>
      <c r="F431">
        <v>27607</v>
      </c>
    </row>
    <row r="432" spans="1:6">
      <c r="A432">
        <v>220000</v>
      </c>
      <c r="B432">
        <v>4</v>
      </c>
      <c r="C432">
        <v>3</v>
      </c>
      <c r="D432">
        <v>3055</v>
      </c>
      <c r="E432">
        <v>11</v>
      </c>
      <c r="F432">
        <v>27604</v>
      </c>
    </row>
    <row r="433" spans="1:6">
      <c r="A433">
        <v>220000</v>
      </c>
      <c r="B433">
        <v>4</v>
      </c>
      <c r="C433">
        <v>2.5</v>
      </c>
      <c r="D433">
        <v>2672</v>
      </c>
      <c r="E433">
        <v>23</v>
      </c>
      <c r="F433">
        <v>27604</v>
      </c>
    </row>
    <row r="434" spans="1:6">
      <c r="A434">
        <v>221700</v>
      </c>
      <c r="B434">
        <v>3</v>
      </c>
      <c r="C434">
        <v>2.5</v>
      </c>
      <c r="D434">
        <v>2575</v>
      </c>
      <c r="E434">
        <v>0</v>
      </c>
      <c r="F434">
        <v>27616</v>
      </c>
    </row>
    <row r="435" spans="1:6">
      <c r="A435">
        <v>222990</v>
      </c>
      <c r="B435">
        <v>3</v>
      </c>
      <c r="C435">
        <v>2.5</v>
      </c>
      <c r="D435">
        <v>2434</v>
      </c>
      <c r="E435">
        <v>0</v>
      </c>
      <c r="F435">
        <v>27616</v>
      </c>
    </row>
    <row r="436" spans="1:6">
      <c r="A436">
        <v>224000</v>
      </c>
      <c r="B436">
        <v>3</v>
      </c>
      <c r="C436">
        <v>2.5</v>
      </c>
      <c r="D436">
        <v>2583</v>
      </c>
      <c r="E436">
        <v>26</v>
      </c>
      <c r="F436">
        <v>27616</v>
      </c>
    </row>
    <row r="437" spans="1:6">
      <c r="A437">
        <v>224900</v>
      </c>
      <c r="B437">
        <v>3</v>
      </c>
      <c r="C437">
        <v>2.5</v>
      </c>
      <c r="D437">
        <v>1643</v>
      </c>
      <c r="E437">
        <v>23</v>
      </c>
      <c r="F437">
        <v>27613</v>
      </c>
    </row>
    <row r="438" spans="1:6">
      <c r="A438">
        <v>224900</v>
      </c>
      <c r="B438">
        <v>3</v>
      </c>
      <c r="C438">
        <v>2.5</v>
      </c>
      <c r="D438">
        <v>2342</v>
      </c>
      <c r="E438">
        <v>12</v>
      </c>
      <c r="F438">
        <v>27616</v>
      </c>
    </row>
    <row r="439" spans="1:6">
      <c r="A439">
        <v>224900</v>
      </c>
      <c r="B439">
        <v>4</v>
      </c>
      <c r="C439">
        <v>2.5</v>
      </c>
      <c r="D439">
        <v>1796</v>
      </c>
      <c r="E439">
        <v>17</v>
      </c>
      <c r="F439">
        <v>27615</v>
      </c>
    </row>
    <row r="440" spans="1:6">
      <c r="A440">
        <v>225000</v>
      </c>
      <c r="B440">
        <v>3</v>
      </c>
      <c r="C440">
        <v>2.5</v>
      </c>
      <c r="D440">
        <v>1781</v>
      </c>
      <c r="E440">
        <v>34</v>
      </c>
      <c r="F440">
        <v>27613</v>
      </c>
    </row>
    <row r="441" spans="1:6">
      <c r="A441">
        <v>225000</v>
      </c>
      <c r="B441">
        <v>3</v>
      </c>
      <c r="C441">
        <v>1.5</v>
      </c>
      <c r="D441">
        <v>1600</v>
      </c>
      <c r="E441">
        <v>54</v>
      </c>
      <c r="F441">
        <v>27606</v>
      </c>
    </row>
    <row r="442" spans="1:6">
      <c r="A442">
        <v>225000</v>
      </c>
      <c r="B442">
        <v>4</v>
      </c>
      <c r="C442">
        <v>2.5</v>
      </c>
      <c r="D442">
        <v>2909</v>
      </c>
      <c r="E442">
        <v>5</v>
      </c>
      <c r="F442">
        <v>27616</v>
      </c>
    </row>
    <row r="443" spans="1:6">
      <c r="A443">
        <v>225000</v>
      </c>
      <c r="B443">
        <v>4</v>
      </c>
      <c r="C443">
        <v>3</v>
      </c>
      <c r="D443">
        <v>2000</v>
      </c>
      <c r="E443">
        <v>29</v>
      </c>
      <c r="F443">
        <v>27615</v>
      </c>
    </row>
    <row r="444" spans="1:6">
      <c r="A444">
        <v>225000</v>
      </c>
      <c r="B444">
        <v>4</v>
      </c>
      <c r="C444">
        <v>2.5</v>
      </c>
      <c r="D444">
        <v>3100</v>
      </c>
      <c r="E444">
        <v>8</v>
      </c>
      <c r="F444">
        <v>27616</v>
      </c>
    </row>
    <row r="445" spans="1:6">
      <c r="A445">
        <v>225000</v>
      </c>
      <c r="B445">
        <v>3</v>
      </c>
      <c r="C445">
        <v>2</v>
      </c>
      <c r="D445">
        <v>1541</v>
      </c>
      <c r="E445">
        <v>33</v>
      </c>
      <c r="F445">
        <v>27612</v>
      </c>
    </row>
    <row r="446" spans="1:6">
      <c r="A446">
        <v>225000</v>
      </c>
      <c r="B446">
        <v>4</v>
      </c>
      <c r="C446">
        <v>2.5</v>
      </c>
      <c r="D446">
        <v>2320</v>
      </c>
      <c r="E446">
        <v>20</v>
      </c>
      <c r="F446">
        <v>27604</v>
      </c>
    </row>
    <row r="447" spans="1:6">
      <c r="A447">
        <v>225000</v>
      </c>
      <c r="B447">
        <v>3</v>
      </c>
      <c r="C447">
        <v>2</v>
      </c>
      <c r="D447">
        <v>1932</v>
      </c>
      <c r="E447">
        <v>31</v>
      </c>
      <c r="F447">
        <v>27609</v>
      </c>
    </row>
    <row r="448" spans="1:6">
      <c r="A448">
        <v>225900</v>
      </c>
      <c r="B448">
        <v>4</v>
      </c>
      <c r="C448">
        <v>2.5</v>
      </c>
      <c r="D448">
        <v>2805</v>
      </c>
      <c r="E448">
        <v>7</v>
      </c>
      <c r="F448">
        <v>27616</v>
      </c>
    </row>
    <row r="449" spans="1:6">
      <c r="A449">
        <v>226630</v>
      </c>
      <c r="B449">
        <v>4</v>
      </c>
      <c r="C449">
        <v>3</v>
      </c>
      <c r="D449">
        <v>2357</v>
      </c>
      <c r="E449">
        <v>1</v>
      </c>
      <c r="F449">
        <v>27527</v>
      </c>
    </row>
    <row r="450" spans="1:6">
      <c r="A450">
        <v>227500</v>
      </c>
      <c r="B450">
        <v>4</v>
      </c>
      <c r="C450">
        <v>2.5</v>
      </c>
      <c r="D450">
        <v>2325</v>
      </c>
      <c r="E450">
        <v>10</v>
      </c>
      <c r="F450">
        <v>27703</v>
      </c>
    </row>
    <row r="451" spans="1:6">
      <c r="A451">
        <v>228500</v>
      </c>
      <c r="B451">
        <v>5</v>
      </c>
      <c r="C451">
        <v>3</v>
      </c>
      <c r="D451">
        <v>3080</v>
      </c>
      <c r="E451">
        <v>9</v>
      </c>
      <c r="F451">
        <v>27610</v>
      </c>
    </row>
    <row r="452" spans="1:6">
      <c r="A452">
        <v>229240</v>
      </c>
      <c r="B452">
        <v>4</v>
      </c>
      <c r="C452">
        <v>2.5</v>
      </c>
      <c r="D452">
        <v>2630</v>
      </c>
      <c r="E452">
        <v>1</v>
      </c>
      <c r="F452">
        <v>27527</v>
      </c>
    </row>
    <row r="453" spans="1:6">
      <c r="A453">
        <v>229500</v>
      </c>
      <c r="B453">
        <v>3</v>
      </c>
      <c r="C453">
        <v>2.5</v>
      </c>
      <c r="D453">
        <v>1675</v>
      </c>
      <c r="E453">
        <v>22</v>
      </c>
      <c r="F453">
        <v>27615</v>
      </c>
    </row>
    <row r="454" spans="1:6">
      <c r="A454">
        <v>229625</v>
      </c>
      <c r="B454">
        <v>4</v>
      </c>
      <c r="C454">
        <v>3</v>
      </c>
      <c r="D454">
        <v>2836</v>
      </c>
      <c r="E454">
        <v>0</v>
      </c>
      <c r="F454">
        <v>27616</v>
      </c>
    </row>
    <row r="455" spans="1:6">
      <c r="A455">
        <v>229900</v>
      </c>
      <c r="B455">
        <v>3</v>
      </c>
      <c r="C455">
        <v>2.5</v>
      </c>
      <c r="D455">
        <v>1730</v>
      </c>
      <c r="E455">
        <v>17</v>
      </c>
      <c r="F455">
        <v>27617</v>
      </c>
    </row>
    <row r="456" spans="1:6">
      <c r="A456">
        <v>229900</v>
      </c>
      <c r="B456">
        <v>3</v>
      </c>
      <c r="C456">
        <v>2.5</v>
      </c>
      <c r="D456">
        <v>1648</v>
      </c>
      <c r="E456">
        <v>31</v>
      </c>
      <c r="F456">
        <v>27609</v>
      </c>
    </row>
    <row r="457" spans="1:6">
      <c r="A457">
        <v>229900</v>
      </c>
      <c r="B457">
        <v>3</v>
      </c>
      <c r="C457">
        <v>2.5</v>
      </c>
      <c r="D457">
        <v>2233</v>
      </c>
      <c r="E457">
        <v>29</v>
      </c>
      <c r="F457">
        <v>27615</v>
      </c>
    </row>
    <row r="458" spans="1:6">
      <c r="A458">
        <v>229900</v>
      </c>
      <c r="B458">
        <v>4</v>
      </c>
      <c r="C458">
        <v>2.5</v>
      </c>
      <c r="D458">
        <v>3440</v>
      </c>
      <c r="E458">
        <v>7</v>
      </c>
      <c r="F458">
        <v>27610</v>
      </c>
    </row>
    <row r="459" spans="1:6">
      <c r="A459">
        <v>229900</v>
      </c>
      <c r="B459">
        <v>4</v>
      </c>
      <c r="C459">
        <v>2.5</v>
      </c>
      <c r="D459">
        <v>2245</v>
      </c>
      <c r="E459">
        <v>17</v>
      </c>
      <c r="F459">
        <v>27604</v>
      </c>
    </row>
    <row r="460" spans="1:6">
      <c r="A460">
        <v>230000</v>
      </c>
      <c r="B460">
        <v>1</v>
      </c>
      <c r="C460">
        <v>1</v>
      </c>
      <c r="D460">
        <v>650</v>
      </c>
      <c r="E460">
        <v>69</v>
      </c>
      <c r="F460">
        <v>27607</v>
      </c>
    </row>
    <row r="461" spans="1:6">
      <c r="A461">
        <v>230000</v>
      </c>
      <c r="B461">
        <v>5</v>
      </c>
      <c r="C461">
        <v>3</v>
      </c>
      <c r="D461">
        <v>2600</v>
      </c>
      <c r="E461">
        <v>0</v>
      </c>
      <c r="F461">
        <v>27616</v>
      </c>
    </row>
    <row r="462" spans="1:6">
      <c r="A462">
        <v>231900</v>
      </c>
      <c r="B462">
        <v>4</v>
      </c>
      <c r="C462">
        <v>2.5</v>
      </c>
      <c r="D462">
        <v>1819</v>
      </c>
      <c r="E462">
        <v>9</v>
      </c>
      <c r="F462">
        <v>27614</v>
      </c>
    </row>
    <row r="463" spans="1:6">
      <c r="A463">
        <v>232000</v>
      </c>
      <c r="B463">
        <v>4</v>
      </c>
      <c r="C463">
        <v>2.5</v>
      </c>
      <c r="D463">
        <v>2433</v>
      </c>
      <c r="E463">
        <v>15</v>
      </c>
      <c r="F463">
        <v>27604</v>
      </c>
    </row>
    <row r="464" spans="1:6">
      <c r="A464">
        <v>233000</v>
      </c>
      <c r="B464">
        <v>4</v>
      </c>
      <c r="C464">
        <v>3</v>
      </c>
      <c r="D464">
        <v>2831</v>
      </c>
      <c r="E464">
        <v>42</v>
      </c>
      <c r="F464">
        <v>27615</v>
      </c>
    </row>
    <row r="465" spans="1:6">
      <c r="A465">
        <v>234580</v>
      </c>
      <c r="B465">
        <v>4</v>
      </c>
      <c r="C465">
        <v>3</v>
      </c>
      <c r="D465">
        <v>2143</v>
      </c>
      <c r="E465">
        <v>1</v>
      </c>
      <c r="F465">
        <v>27527</v>
      </c>
    </row>
    <row r="466" spans="1:6">
      <c r="A466">
        <v>234777</v>
      </c>
      <c r="B466">
        <v>3</v>
      </c>
      <c r="C466">
        <v>3.5</v>
      </c>
      <c r="D466">
        <v>2895</v>
      </c>
      <c r="E466">
        <v>7</v>
      </c>
      <c r="F466">
        <v>27616</v>
      </c>
    </row>
    <row r="467" spans="1:6">
      <c r="A467">
        <v>234900</v>
      </c>
      <c r="B467">
        <v>4</v>
      </c>
      <c r="C467">
        <v>2.5</v>
      </c>
      <c r="D467">
        <v>1900</v>
      </c>
      <c r="E467">
        <v>14</v>
      </c>
      <c r="F467">
        <v>27617</v>
      </c>
    </row>
    <row r="468" spans="1:6">
      <c r="A468">
        <v>235000</v>
      </c>
      <c r="B468">
        <v>3</v>
      </c>
      <c r="C468">
        <v>2</v>
      </c>
      <c r="D468">
        <v>1502</v>
      </c>
      <c r="E468">
        <v>33</v>
      </c>
      <c r="F468">
        <v>27613</v>
      </c>
    </row>
    <row r="469" spans="1:6">
      <c r="A469">
        <v>235000</v>
      </c>
      <c r="B469">
        <v>3</v>
      </c>
      <c r="C469">
        <v>2</v>
      </c>
      <c r="D469">
        <v>1821</v>
      </c>
      <c r="E469">
        <v>64</v>
      </c>
      <c r="F469">
        <v>27607</v>
      </c>
    </row>
    <row r="470" spans="1:6">
      <c r="A470">
        <v>237000</v>
      </c>
      <c r="B470">
        <v>4</v>
      </c>
      <c r="C470">
        <v>2.5</v>
      </c>
      <c r="D470">
        <v>2600</v>
      </c>
      <c r="E470">
        <v>8</v>
      </c>
      <c r="F470">
        <v>27616</v>
      </c>
    </row>
    <row r="471" spans="1:6">
      <c r="A471">
        <v>237999</v>
      </c>
      <c r="B471">
        <v>5</v>
      </c>
      <c r="C471">
        <v>2.5</v>
      </c>
      <c r="D471">
        <v>2854</v>
      </c>
      <c r="E471">
        <v>22</v>
      </c>
      <c r="F471">
        <v>27616</v>
      </c>
    </row>
    <row r="472" spans="1:6">
      <c r="A472">
        <v>239000</v>
      </c>
      <c r="B472">
        <v>4</v>
      </c>
      <c r="C472">
        <v>2.5</v>
      </c>
      <c r="D472">
        <v>2684</v>
      </c>
      <c r="E472">
        <v>9</v>
      </c>
      <c r="F472">
        <v>27616</v>
      </c>
    </row>
    <row r="473" spans="1:6">
      <c r="A473">
        <v>239900</v>
      </c>
      <c r="B473">
        <v>3</v>
      </c>
      <c r="C473">
        <v>2</v>
      </c>
      <c r="D473">
        <v>1240</v>
      </c>
      <c r="E473">
        <v>60</v>
      </c>
      <c r="F473">
        <v>27608</v>
      </c>
    </row>
    <row r="474" spans="1:6">
      <c r="A474">
        <v>239900</v>
      </c>
      <c r="B474">
        <v>4</v>
      </c>
      <c r="C474">
        <v>3</v>
      </c>
      <c r="D474">
        <v>2610</v>
      </c>
      <c r="E474">
        <v>12</v>
      </c>
      <c r="F474">
        <v>27603</v>
      </c>
    </row>
    <row r="475" spans="1:6">
      <c r="A475">
        <v>239900</v>
      </c>
      <c r="B475">
        <v>3</v>
      </c>
      <c r="C475">
        <v>2.5</v>
      </c>
      <c r="D475">
        <v>1887</v>
      </c>
      <c r="E475">
        <v>8</v>
      </c>
      <c r="F475">
        <v>27614</v>
      </c>
    </row>
    <row r="476" spans="1:6">
      <c r="A476">
        <v>239900</v>
      </c>
      <c r="B476">
        <v>4</v>
      </c>
      <c r="C476">
        <v>2</v>
      </c>
      <c r="D476">
        <v>2156</v>
      </c>
      <c r="E476">
        <v>46</v>
      </c>
      <c r="F476">
        <v>27609</v>
      </c>
    </row>
    <row r="477" spans="1:6">
      <c r="A477">
        <v>239900</v>
      </c>
      <c r="B477">
        <v>4</v>
      </c>
      <c r="C477">
        <v>2.5</v>
      </c>
      <c r="D477">
        <v>2300</v>
      </c>
      <c r="E477">
        <v>11</v>
      </c>
      <c r="F477">
        <v>27614</v>
      </c>
    </row>
    <row r="478" spans="1:6">
      <c r="A478">
        <v>240000</v>
      </c>
      <c r="B478">
        <v>4</v>
      </c>
      <c r="C478">
        <v>3</v>
      </c>
      <c r="D478">
        <v>2012</v>
      </c>
      <c r="E478">
        <v>50</v>
      </c>
      <c r="F478">
        <v>27609</v>
      </c>
    </row>
    <row r="479" spans="1:6">
      <c r="A479">
        <v>240000</v>
      </c>
      <c r="B479">
        <v>3</v>
      </c>
      <c r="C479">
        <v>2.5</v>
      </c>
      <c r="D479">
        <v>2545</v>
      </c>
      <c r="E479">
        <v>11</v>
      </c>
      <c r="F479">
        <v>27616</v>
      </c>
    </row>
    <row r="480" spans="1:6">
      <c r="A480">
        <v>240000</v>
      </c>
      <c r="B480">
        <v>4</v>
      </c>
      <c r="C480">
        <v>2.5</v>
      </c>
      <c r="D480">
        <v>2623</v>
      </c>
      <c r="E480">
        <v>2</v>
      </c>
      <c r="F480">
        <v>27616</v>
      </c>
    </row>
    <row r="481" spans="1:6">
      <c r="A481">
        <v>242500</v>
      </c>
      <c r="B481">
        <v>3</v>
      </c>
      <c r="C481">
        <v>2.5</v>
      </c>
      <c r="D481">
        <v>1870</v>
      </c>
      <c r="E481">
        <v>36</v>
      </c>
      <c r="F481">
        <v>27612</v>
      </c>
    </row>
    <row r="482" spans="1:6">
      <c r="A482">
        <v>244900</v>
      </c>
      <c r="B482">
        <v>4</v>
      </c>
      <c r="C482">
        <v>2.5</v>
      </c>
      <c r="D482">
        <v>2651</v>
      </c>
      <c r="E482">
        <v>14</v>
      </c>
      <c r="F482">
        <v>27616</v>
      </c>
    </row>
    <row r="483" spans="1:6">
      <c r="A483">
        <v>244990</v>
      </c>
      <c r="B483">
        <v>5</v>
      </c>
      <c r="C483">
        <v>3.5</v>
      </c>
      <c r="D483">
        <v>2761</v>
      </c>
      <c r="E483">
        <v>1</v>
      </c>
      <c r="F483">
        <v>27616</v>
      </c>
    </row>
    <row r="484" spans="1:6">
      <c r="A484">
        <v>245000</v>
      </c>
      <c r="B484">
        <v>4</v>
      </c>
      <c r="C484">
        <v>3.5</v>
      </c>
      <c r="D484">
        <v>2126</v>
      </c>
      <c r="E484">
        <v>47</v>
      </c>
      <c r="F484">
        <v>27606</v>
      </c>
    </row>
    <row r="485" spans="1:6">
      <c r="A485">
        <v>245000</v>
      </c>
      <c r="B485">
        <v>5</v>
      </c>
      <c r="C485">
        <v>3</v>
      </c>
      <c r="D485">
        <v>3389</v>
      </c>
      <c r="E485">
        <v>8</v>
      </c>
      <c r="F485">
        <v>27610</v>
      </c>
    </row>
    <row r="486" spans="1:6">
      <c r="A486">
        <v>245000</v>
      </c>
      <c r="B486">
        <v>4</v>
      </c>
      <c r="C486">
        <v>3</v>
      </c>
      <c r="D486">
        <v>2464</v>
      </c>
      <c r="E486">
        <v>27</v>
      </c>
      <c r="F486">
        <v>27615</v>
      </c>
    </row>
    <row r="487" spans="1:6">
      <c r="A487">
        <v>247155</v>
      </c>
      <c r="B487">
        <v>5</v>
      </c>
      <c r="C487">
        <v>3</v>
      </c>
      <c r="D487">
        <v>3044</v>
      </c>
      <c r="E487">
        <v>1</v>
      </c>
      <c r="F487">
        <v>27527</v>
      </c>
    </row>
    <row r="488" spans="1:6">
      <c r="A488">
        <v>248900</v>
      </c>
      <c r="B488">
        <v>4</v>
      </c>
      <c r="C488">
        <v>3.5</v>
      </c>
      <c r="D488">
        <v>2035</v>
      </c>
      <c r="E488">
        <v>8</v>
      </c>
      <c r="F488">
        <v>27614</v>
      </c>
    </row>
    <row r="489" spans="1:6">
      <c r="A489">
        <v>249900</v>
      </c>
      <c r="B489">
        <v>3</v>
      </c>
      <c r="C489">
        <v>2.5</v>
      </c>
      <c r="D489">
        <v>1703</v>
      </c>
      <c r="E489">
        <v>30</v>
      </c>
      <c r="F489">
        <v>27613</v>
      </c>
    </row>
    <row r="490" spans="1:6">
      <c r="A490">
        <v>249900</v>
      </c>
      <c r="B490">
        <v>3</v>
      </c>
      <c r="C490">
        <v>2</v>
      </c>
      <c r="D490">
        <v>1442</v>
      </c>
      <c r="E490">
        <v>68</v>
      </c>
      <c r="F490">
        <v>27608</v>
      </c>
    </row>
    <row r="491" spans="1:6">
      <c r="A491">
        <v>249900</v>
      </c>
      <c r="B491">
        <v>3</v>
      </c>
      <c r="C491">
        <v>2.5</v>
      </c>
      <c r="D491">
        <v>2894</v>
      </c>
      <c r="E491">
        <v>8</v>
      </c>
      <c r="F491">
        <v>27616</v>
      </c>
    </row>
    <row r="492" spans="1:6">
      <c r="A492">
        <v>249900</v>
      </c>
      <c r="B492">
        <v>4</v>
      </c>
      <c r="C492">
        <v>2.5</v>
      </c>
      <c r="D492">
        <v>2580</v>
      </c>
      <c r="E492">
        <v>19</v>
      </c>
      <c r="F492">
        <v>27613</v>
      </c>
    </row>
    <row r="493" spans="1:6">
      <c r="A493">
        <v>249990</v>
      </c>
      <c r="B493">
        <v>3</v>
      </c>
      <c r="C493">
        <v>2.5</v>
      </c>
      <c r="D493">
        <v>2544</v>
      </c>
      <c r="E493">
        <v>0</v>
      </c>
      <c r="F493">
        <v>27616</v>
      </c>
    </row>
    <row r="494" spans="1:6">
      <c r="A494">
        <v>250000</v>
      </c>
      <c r="B494">
        <v>3</v>
      </c>
      <c r="C494">
        <v>2</v>
      </c>
      <c r="D494">
        <v>1733</v>
      </c>
      <c r="E494">
        <v>34</v>
      </c>
      <c r="F494">
        <v>27612</v>
      </c>
    </row>
    <row r="495" spans="1:6">
      <c r="A495">
        <v>250000</v>
      </c>
      <c r="B495">
        <v>4</v>
      </c>
      <c r="C495">
        <v>2.5</v>
      </c>
      <c r="D495">
        <v>2623</v>
      </c>
      <c r="E495">
        <v>6</v>
      </c>
      <c r="F495">
        <v>27616</v>
      </c>
    </row>
    <row r="496" spans="1:6">
      <c r="A496">
        <v>250000</v>
      </c>
      <c r="B496">
        <v>4</v>
      </c>
      <c r="C496">
        <v>2.5</v>
      </c>
      <c r="D496">
        <v>3652</v>
      </c>
      <c r="E496">
        <v>11</v>
      </c>
      <c r="F496">
        <v>27614</v>
      </c>
    </row>
    <row r="497" spans="1:6">
      <c r="A497">
        <v>250751</v>
      </c>
      <c r="B497">
        <v>4</v>
      </c>
      <c r="C497">
        <v>4.5</v>
      </c>
      <c r="D497">
        <v>2775</v>
      </c>
      <c r="E497">
        <v>1</v>
      </c>
      <c r="F497">
        <v>27616</v>
      </c>
    </row>
    <row r="498" spans="1:6">
      <c r="A498">
        <v>254000</v>
      </c>
      <c r="B498">
        <v>5</v>
      </c>
      <c r="C498">
        <v>3.5</v>
      </c>
      <c r="D498">
        <v>3308</v>
      </c>
      <c r="E498">
        <v>12</v>
      </c>
      <c r="F498">
        <v>27604</v>
      </c>
    </row>
    <row r="499" spans="1:6">
      <c r="A499">
        <v>254450</v>
      </c>
      <c r="B499">
        <v>5</v>
      </c>
      <c r="C499">
        <v>3</v>
      </c>
      <c r="D499">
        <v>3099</v>
      </c>
      <c r="E499">
        <v>17</v>
      </c>
      <c r="F499">
        <v>27604</v>
      </c>
    </row>
    <row r="500" spans="1:6">
      <c r="A500">
        <v>258000</v>
      </c>
      <c r="B500">
        <v>2</v>
      </c>
      <c r="C500">
        <v>1</v>
      </c>
      <c r="D500">
        <v>932</v>
      </c>
      <c r="E500">
        <v>67</v>
      </c>
      <c r="F500">
        <v>27608</v>
      </c>
    </row>
    <row r="501" spans="1:6">
      <c r="A501">
        <v>258900</v>
      </c>
      <c r="B501">
        <v>4</v>
      </c>
      <c r="C501">
        <v>2.5</v>
      </c>
      <c r="D501">
        <v>2250</v>
      </c>
      <c r="E501">
        <v>1</v>
      </c>
      <c r="F501">
        <v>27616</v>
      </c>
    </row>
    <row r="502" spans="1:6">
      <c r="A502">
        <v>259000</v>
      </c>
      <c r="B502">
        <v>2</v>
      </c>
      <c r="C502">
        <v>1.5</v>
      </c>
      <c r="D502">
        <v>1085</v>
      </c>
      <c r="E502">
        <v>60</v>
      </c>
      <c r="F502">
        <v>27608</v>
      </c>
    </row>
    <row r="503" spans="1:6">
      <c r="A503">
        <v>259900</v>
      </c>
      <c r="B503">
        <v>3</v>
      </c>
      <c r="C503">
        <v>2</v>
      </c>
      <c r="D503">
        <v>2100</v>
      </c>
      <c r="E503">
        <v>15</v>
      </c>
      <c r="F503">
        <v>27610</v>
      </c>
    </row>
    <row r="504" spans="1:6">
      <c r="A504">
        <v>259900</v>
      </c>
      <c r="B504">
        <v>4</v>
      </c>
      <c r="C504">
        <v>2.5</v>
      </c>
      <c r="D504">
        <v>3000</v>
      </c>
      <c r="E504">
        <v>8</v>
      </c>
      <c r="F504">
        <v>27616</v>
      </c>
    </row>
    <row r="505" spans="1:6">
      <c r="A505">
        <v>260000</v>
      </c>
      <c r="B505">
        <v>4</v>
      </c>
      <c r="C505">
        <v>3.5</v>
      </c>
      <c r="D505">
        <v>3804</v>
      </c>
      <c r="E505">
        <v>7</v>
      </c>
      <c r="F505">
        <v>27610</v>
      </c>
    </row>
    <row r="506" spans="1:6">
      <c r="A506">
        <v>260000</v>
      </c>
      <c r="B506">
        <v>5</v>
      </c>
      <c r="C506">
        <v>3.5</v>
      </c>
      <c r="D506">
        <v>3236</v>
      </c>
      <c r="E506">
        <v>18</v>
      </c>
      <c r="F506">
        <v>27604</v>
      </c>
    </row>
    <row r="507" spans="1:6">
      <c r="A507">
        <v>264000</v>
      </c>
      <c r="B507">
        <v>3</v>
      </c>
      <c r="C507">
        <v>2.5</v>
      </c>
      <c r="D507">
        <v>2290</v>
      </c>
      <c r="E507">
        <v>36</v>
      </c>
      <c r="F507">
        <v>27613</v>
      </c>
    </row>
    <row r="508" spans="1:6">
      <c r="A508">
        <v>264854</v>
      </c>
      <c r="B508">
        <v>3</v>
      </c>
      <c r="C508">
        <v>2.5</v>
      </c>
      <c r="D508">
        <v>2296</v>
      </c>
      <c r="E508">
        <v>1</v>
      </c>
      <c r="F508">
        <v>27603</v>
      </c>
    </row>
    <row r="509" spans="1:6">
      <c r="A509">
        <v>264882</v>
      </c>
      <c r="B509">
        <v>4</v>
      </c>
      <c r="C509">
        <v>3</v>
      </c>
      <c r="D509">
        <v>2288</v>
      </c>
      <c r="E509">
        <v>0</v>
      </c>
      <c r="F509">
        <v>27603</v>
      </c>
    </row>
    <row r="510" spans="1:6">
      <c r="A510">
        <v>264900</v>
      </c>
      <c r="B510">
        <v>3</v>
      </c>
      <c r="C510">
        <v>2.5</v>
      </c>
      <c r="D510">
        <v>1943</v>
      </c>
      <c r="E510">
        <v>25</v>
      </c>
      <c r="F510">
        <v>27613</v>
      </c>
    </row>
    <row r="511" spans="1:6">
      <c r="A511">
        <v>264900</v>
      </c>
      <c r="B511">
        <v>3</v>
      </c>
      <c r="C511">
        <v>1</v>
      </c>
      <c r="D511">
        <v>1131</v>
      </c>
      <c r="E511">
        <v>58</v>
      </c>
      <c r="F511">
        <v>27608</v>
      </c>
    </row>
    <row r="512" spans="1:6">
      <c r="A512">
        <v>265000</v>
      </c>
      <c r="B512">
        <v>3</v>
      </c>
      <c r="C512">
        <v>2.5</v>
      </c>
      <c r="D512">
        <v>2154</v>
      </c>
      <c r="E512">
        <v>56</v>
      </c>
      <c r="F512">
        <v>27612</v>
      </c>
    </row>
    <row r="513" spans="1:6">
      <c r="A513">
        <v>265000</v>
      </c>
      <c r="B513">
        <v>5</v>
      </c>
      <c r="C513">
        <v>3.5</v>
      </c>
      <c r="D513">
        <v>3011</v>
      </c>
      <c r="E513">
        <v>7</v>
      </c>
      <c r="F513">
        <v>27616</v>
      </c>
    </row>
    <row r="514" spans="1:6">
      <c r="A514">
        <v>267000</v>
      </c>
      <c r="B514">
        <v>3</v>
      </c>
      <c r="C514">
        <v>2.5</v>
      </c>
      <c r="D514">
        <v>1970</v>
      </c>
      <c r="E514">
        <v>35</v>
      </c>
      <c r="F514">
        <v>27607</v>
      </c>
    </row>
    <row r="515" spans="1:6">
      <c r="A515">
        <v>267115</v>
      </c>
      <c r="B515">
        <v>3</v>
      </c>
      <c r="C515">
        <v>2</v>
      </c>
      <c r="D515">
        <v>1844</v>
      </c>
      <c r="E515">
        <v>0</v>
      </c>
      <c r="F515">
        <v>27616</v>
      </c>
    </row>
    <row r="516" spans="1:6">
      <c r="A516">
        <v>269000</v>
      </c>
      <c r="B516">
        <v>2</v>
      </c>
      <c r="C516">
        <v>2</v>
      </c>
      <c r="D516">
        <v>1011</v>
      </c>
      <c r="E516">
        <v>65</v>
      </c>
      <c r="F516">
        <v>27608</v>
      </c>
    </row>
    <row r="517" spans="1:6">
      <c r="A517">
        <v>269900</v>
      </c>
      <c r="B517">
        <v>3</v>
      </c>
      <c r="C517">
        <v>2.5</v>
      </c>
      <c r="D517">
        <v>1543</v>
      </c>
      <c r="E517">
        <v>25</v>
      </c>
      <c r="F517">
        <v>27606</v>
      </c>
    </row>
    <row r="518" spans="1:6">
      <c r="A518">
        <v>269900</v>
      </c>
      <c r="B518">
        <v>4</v>
      </c>
      <c r="C518">
        <v>2.5</v>
      </c>
      <c r="D518">
        <v>2668</v>
      </c>
      <c r="E518">
        <v>11</v>
      </c>
      <c r="F518">
        <v>27610</v>
      </c>
    </row>
    <row r="519" spans="1:6">
      <c r="A519">
        <v>269900</v>
      </c>
      <c r="B519">
        <v>4</v>
      </c>
      <c r="C519">
        <v>2</v>
      </c>
      <c r="D519">
        <v>2121</v>
      </c>
      <c r="E519">
        <v>42</v>
      </c>
      <c r="F519">
        <v>27615</v>
      </c>
    </row>
    <row r="520" spans="1:6">
      <c r="A520">
        <v>269900</v>
      </c>
      <c r="B520">
        <v>4</v>
      </c>
      <c r="C520">
        <v>3</v>
      </c>
      <c r="D520">
        <v>2083</v>
      </c>
      <c r="E520">
        <v>19</v>
      </c>
      <c r="F520">
        <v>27615</v>
      </c>
    </row>
    <row r="521" spans="1:6">
      <c r="A521">
        <v>269900</v>
      </c>
      <c r="B521">
        <v>4</v>
      </c>
      <c r="C521">
        <v>2.5</v>
      </c>
      <c r="D521">
        <v>2779</v>
      </c>
      <c r="E521">
        <v>7</v>
      </c>
      <c r="F521">
        <v>27616</v>
      </c>
    </row>
    <row r="522" spans="1:6">
      <c r="A522">
        <v>270000</v>
      </c>
      <c r="B522">
        <v>3</v>
      </c>
      <c r="C522">
        <v>2</v>
      </c>
      <c r="D522">
        <v>2475</v>
      </c>
      <c r="E522">
        <v>57</v>
      </c>
      <c r="F522">
        <v>27615</v>
      </c>
    </row>
    <row r="523" spans="1:6">
      <c r="A523">
        <v>272990</v>
      </c>
      <c r="B523">
        <v>4</v>
      </c>
      <c r="C523">
        <v>2.5</v>
      </c>
      <c r="D523">
        <v>2411</v>
      </c>
      <c r="E523">
        <v>1</v>
      </c>
      <c r="F523">
        <v>27616</v>
      </c>
    </row>
    <row r="524" spans="1:6">
      <c r="A524">
        <v>273900</v>
      </c>
      <c r="B524">
        <v>2</v>
      </c>
      <c r="C524">
        <v>1</v>
      </c>
      <c r="D524">
        <v>1250</v>
      </c>
      <c r="E524">
        <v>82</v>
      </c>
      <c r="F524">
        <v>27603</v>
      </c>
    </row>
    <row r="525" spans="1:6">
      <c r="A525">
        <v>274900</v>
      </c>
      <c r="B525">
        <v>4</v>
      </c>
      <c r="C525">
        <v>2.5</v>
      </c>
      <c r="D525">
        <v>2522</v>
      </c>
      <c r="E525">
        <v>22</v>
      </c>
      <c r="F525">
        <v>27615</v>
      </c>
    </row>
    <row r="526" spans="1:6">
      <c r="A526">
        <v>274900</v>
      </c>
      <c r="B526">
        <v>3</v>
      </c>
      <c r="C526">
        <v>2.5</v>
      </c>
      <c r="D526">
        <v>1840</v>
      </c>
      <c r="E526">
        <v>31</v>
      </c>
      <c r="F526">
        <v>27615</v>
      </c>
    </row>
    <row r="527" spans="1:6">
      <c r="A527">
        <v>274900</v>
      </c>
      <c r="B527">
        <v>4</v>
      </c>
      <c r="C527">
        <v>3.5</v>
      </c>
      <c r="D527">
        <v>2860</v>
      </c>
      <c r="E527">
        <v>6</v>
      </c>
      <c r="F527">
        <v>27616</v>
      </c>
    </row>
    <row r="528" spans="1:6">
      <c r="A528">
        <v>274900</v>
      </c>
      <c r="B528">
        <v>3</v>
      </c>
      <c r="C528">
        <v>2.5</v>
      </c>
      <c r="D528">
        <v>2475</v>
      </c>
      <c r="E528">
        <v>0</v>
      </c>
      <c r="F528">
        <v>27603</v>
      </c>
    </row>
    <row r="529" spans="1:6">
      <c r="A529">
        <v>275000</v>
      </c>
      <c r="B529">
        <v>4</v>
      </c>
      <c r="C529">
        <v>2.5</v>
      </c>
      <c r="D529">
        <v>2630</v>
      </c>
      <c r="E529">
        <v>11</v>
      </c>
      <c r="F529">
        <v>27613</v>
      </c>
    </row>
    <row r="530" spans="1:6">
      <c r="A530">
        <v>275000</v>
      </c>
      <c r="B530">
        <v>4</v>
      </c>
      <c r="C530">
        <v>2.5</v>
      </c>
      <c r="D530">
        <v>3234</v>
      </c>
      <c r="E530">
        <v>12</v>
      </c>
      <c r="F530">
        <v>27616</v>
      </c>
    </row>
    <row r="531" spans="1:6">
      <c r="A531">
        <v>275000</v>
      </c>
      <c r="B531">
        <v>4</v>
      </c>
      <c r="C531">
        <v>2.5</v>
      </c>
      <c r="D531">
        <v>2953</v>
      </c>
      <c r="E531">
        <v>8</v>
      </c>
      <c r="F531">
        <v>27614</v>
      </c>
    </row>
    <row r="532" spans="1:6">
      <c r="A532">
        <v>275000</v>
      </c>
      <c r="B532">
        <v>3</v>
      </c>
      <c r="C532">
        <v>2.5</v>
      </c>
      <c r="D532">
        <v>2389</v>
      </c>
      <c r="E532">
        <v>19</v>
      </c>
      <c r="F532">
        <v>27616</v>
      </c>
    </row>
    <row r="533" spans="1:6">
      <c r="A533">
        <v>275000</v>
      </c>
      <c r="B533">
        <v>4</v>
      </c>
      <c r="C533">
        <v>2.5</v>
      </c>
      <c r="D533">
        <v>2579</v>
      </c>
      <c r="E533">
        <v>9</v>
      </c>
      <c r="F533">
        <v>27614</v>
      </c>
    </row>
    <row r="534" spans="1:6">
      <c r="A534">
        <v>275000</v>
      </c>
      <c r="B534">
        <v>5</v>
      </c>
      <c r="C534">
        <v>4</v>
      </c>
      <c r="D534">
        <v>3278</v>
      </c>
      <c r="E534">
        <v>55</v>
      </c>
      <c r="F534">
        <v>27609</v>
      </c>
    </row>
    <row r="535" spans="1:6">
      <c r="A535">
        <v>279000</v>
      </c>
      <c r="B535">
        <v>5</v>
      </c>
      <c r="C535">
        <v>3.5</v>
      </c>
      <c r="D535">
        <v>3546</v>
      </c>
      <c r="E535">
        <v>50</v>
      </c>
      <c r="F535">
        <v>27613</v>
      </c>
    </row>
    <row r="536" spans="1:6">
      <c r="A536">
        <v>279000</v>
      </c>
      <c r="B536">
        <v>4</v>
      </c>
      <c r="C536">
        <v>4</v>
      </c>
      <c r="D536">
        <v>2918</v>
      </c>
      <c r="E536">
        <v>5</v>
      </c>
      <c r="F536">
        <v>27527</v>
      </c>
    </row>
    <row r="537" spans="1:6">
      <c r="A537">
        <v>279900</v>
      </c>
      <c r="B537">
        <v>4</v>
      </c>
      <c r="C537">
        <v>2</v>
      </c>
      <c r="D537">
        <v>2197</v>
      </c>
      <c r="E537">
        <v>44</v>
      </c>
      <c r="F537">
        <v>27613</v>
      </c>
    </row>
    <row r="538" spans="1:6">
      <c r="A538">
        <v>279900</v>
      </c>
      <c r="B538">
        <v>4</v>
      </c>
      <c r="C538">
        <v>2.5</v>
      </c>
      <c r="D538">
        <v>3546</v>
      </c>
      <c r="E538">
        <v>21</v>
      </c>
      <c r="F538">
        <v>27604</v>
      </c>
    </row>
    <row r="539" spans="1:6">
      <c r="A539">
        <v>279900</v>
      </c>
      <c r="B539">
        <v>3</v>
      </c>
      <c r="C539">
        <v>2</v>
      </c>
      <c r="D539">
        <v>1885</v>
      </c>
      <c r="E539">
        <v>27</v>
      </c>
      <c r="F539">
        <v>27609</v>
      </c>
    </row>
    <row r="540" spans="1:6">
      <c r="A540">
        <v>279900</v>
      </c>
      <c r="B540">
        <v>5</v>
      </c>
      <c r="C540">
        <v>4</v>
      </c>
      <c r="D540">
        <v>3072</v>
      </c>
      <c r="E540">
        <v>4</v>
      </c>
      <c r="F540">
        <v>27616</v>
      </c>
    </row>
    <row r="541" spans="1:6">
      <c r="A541">
        <v>279900</v>
      </c>
      <c r="B541">
        <v>4</v>
      </c>
      <c r="C541">
        <v>3</v>
      </c>
      <c r="D541">
        <v>2324</v>
      </c>
      <c r="E541">
        <v>45</v>
      </c>
      <c r="F541">
        <v>27609</v>
      </c>
    </row>
    <row r="542" spans="1:6">
      <c r="A542">
        <v>280850</v>
      </c>
      <c r="B542">
        <v>5</v>
      </c>
      <c r="C542">
        <v>4.5</v>
      </c>
      <c r="D542">
        <v>3045</v>
      </c>
      <c r="E542">
        <v>0</v>
      </c>
      <c r="F542">
        <v>27545</v>
      </c>
    </row>
    <row r="543" spans="1:6">
      <c r="A543">
        <v>280990</v>
      </c>
      <c r="B543">
        <v>4</v>
      </c>
      <c r="C543">
        <v>4.5</v>
      </c>
      <c r="D543">
        <v>2775</v>
      </c>
      <c r="E543">
        <v>0</v>
      </c>
      <c r="F543">
        <v>27616</v>
      </c>
    </row>
    <row r="544" spans="1:6">
      <c r="A544">
        <v>282890</v>
      </c>
      <c r="B544">
        <v>4</v>
      </c>
      <c r="C544">
        <v>3</v>
      </c>
      <c r="D544">
        <v>2757</v>
      </c>
      <c r="E544">
        <v>1</v>
      </c>
      <c r="F544">
        <v>27616</v>
      </c>
    </row>
    <row r="545" spans="1:6">
      <c r="A545">
        <v>283000</v>
      </c>
      <c r="B545">
        <v>3</v>
      </c>
      <c r="C545">
        <v>1</v>
      </c>
      <c r="D545">
        <v>1673</v>
      </c>
      <c r="E545">
        <v>91</v>
      </c>
      <c r="F545">
        <v>27604</v>
      </c>
    </row>
    <row r="546" spans="1:6">
      <c r="A546">
        <v>284900</v>
      </c>
      <c r="B546">
        <v>3</v>
      </c>
      <c r="C546">
        <v>2.5</v>
      </c>
      <c r="D546">
        <v>2425</v>
      </c>
      <c r="E546">
        <v>19</v>
      </c>
      <c r="F546">
        <v>27613</v>
      </c>
    </row>
    <row r="547" spans="1:6">
      <c r="A547">
        <v>286990</v>
      </c>
      <c r="B547">
        <v>4</v>
      </c>
      <c r="C547">
        <v>3</v>
      </c>
      <c r="D547">
        <v>2531</v>
      </c>
      <c r="E547">
        <v>0</v>
      </c>
      <c r="F547">
        <v>27592</v>
      </c>
    </row>
    <row r="548" spans="1:6">
      <c r="A548">
        <v>287890</v>
      </c>
      <c r="B548">
        <v>3</v>
      </c>
      <c r="C548">
        <v>2.5</v>
      </c>
      <c r="D548">
        <v>2411</v>
      </c>
      <c r="E548">
        <v>1</v>
      </c>
      <c r="F548">
        <v>27616</v>
      </c>
    </row>
    <row r="549" spans="1:6">
      <c r="A549">
        <v>289000</v>
      </c>
      <c r="B549">
        <v>3</v>
      </c>
      <c r="C549">
        <v>2.5</v>
      </c>
      <c r="D549">
        <v>1875</v>
      </c>
      <c r="E549">
        <v>18</v>
      </c>
      <c r="F549">
        <v>27615</v>
      </c>
    </row>
    <row r="550" spans="1:6">
      <c r="A550">
        <v>289900</v>
      </c>
      <c r="B550">
        <v>4</v>
      </c>
      <c r="C550">
        <v>2.5</v>
      </c>
      <c r="D550">
        <v>2460</v>
      </c>
      <c r="E550">
        <v>25</v>
      </c>
      <c r="F550">
        <v>27613</v>
      </c>
    </row>
    <row r="551" spans="1:6">
      <c r="A551">
        <v>289900</v>
      </c>
      <c r="B551">
        <v>3</v>
      </c>
      <c r="C551">
        <v>2.5</v>
      </c>
      <c r="D551">
        <v>3342</v>
      </c>
      <c r="E551">
        <v>21</v>
      </c>
      <c r="F551">
        <v>27615</v>
      </c>
    </row>
    <row r="552" spans="1:6">
      <c r="A552">
        <v>289900</v>
      </c>
      <c r="B552">
        <v>4</v>
      </c>
      <c r="C552">
        <v>2.5</v>
      </c>
      <c r="D552">
        <v>3013</v>
      </c>
      <c r="E552">
        <v>13</v>
      </c>
      <c r="F552">
        <v>27616</v>
      </c>
    </row>
    <row r="553" spans="1:6">
      <c r="A553">
        <v>290000</v>
      </c>
      <c r="B553">
        <v>4</v>
      </c>
      <c r="C553">
        <v>2.5</v>
      </c>
      <c r="D553">
        <v>2519</v>
      </c>
      <c r="E553">
        <v>9</v>
      </c>
      <c r="F553">
        <v>27613</v>
      </c>
    </row>
    <row r="554" spans="1:6">
      <c r="A554">
        <v>291477</v>
      </c>
      <c r="B554">
        <v>5</v>
      </c>
      <c r="C554">
        <v>4</v>
      </c>
      <c r="D554">
        <v>2780</v>
      </c>
      <c r="E554">
        <v>0</v>
      </c>
      <c r="F554">
        <v>27616</v>
      </c>
    </row>
    <row r="555" spans="1:6">
      <c r="A555">
        <v>293120</v>
      </c>
      <c r="B555">
        <v>4</v>
      </c>
      <c r="C555">
        <v>3</v>
      </c>
      <c r="D555">
        <v>3044</v>
      </c>
      <c r="E555">
        <v>0</v>
      </c>
      <c r="F555">
        <v>27592</v>
      </c>
    </row>
    <row r="556" spans="1:6">
      <c r="A556">
        <v>294410</v>
      </c>
      <c r="B556">
        <v>5</v>
      </c>
      <c r="C556">
        <v>3.5</v>
      </c>
      <c r="D556">
        <v>3090</v>
      </c>
      <c r="E556">
        <v>1</v>
      </c>
      <c r="F556">
        <v>27571</v>
      </c>
    </row>
    <row r="557" spans="1:6">
      <c r="A557">
        <v>295000</v>
      </c>
      <c r="B557">
        <v>4</v>
      </c>
      <c r="C557">
        <v>2.5</v>
      </c>
      <c r="D557">
        <v>2543</v>
      </c>
      <c r="E557">
        <v>11</v>
      </c>
      <c r="F557">
        <v>27613</v>
      </c>
    </row>
    <row r="558" spans="1:6">
      <c r="A558">
        <v>295000</v>
      </c>
      <c r="B558">
        <v>3</v>
      </c>
      <c r="C558">
        <v>3</v>
      </c>
      <c r="D558">
        <v>2425</v>
      </c>
      <c r="E558">
        <v>8</v>
      </c>
      <c r="F558">
        <v>27614</v>
      </c>
    </row>
    <row r="559" spans="1:6">
      <c r="A559">
        <v>297890</v>
      </c>
      <c r="B559">
        <v>4</v>
      </c>
      <c r="C559">
        <v>3.5</v>
      </c>
      <c r="D559">
        <v>3035</v>
      </c>
      <c r="E559">
        <v>1</v>
      </c>
      <c r="F559">
        <v>27616</v>
      </c>
    </row>
    <row r="560" spans="1:6">
      <c r="A560">
        <v>298900</v>
      </c>
      <c r="B560">
        <v>3</v>
      </c>
      <c r="C560">
        <v>3</v>
      </c>
      <c r="D560">
        <v>3424</v>
      </c>
      <c r="E560">
        <v>45</v>
      </c>
      <c r="F560">
        <v>27606</v>
      </c>
    </row>
    <row r="561" spans="1:6">
      <c r="A561">
        <v>299000</v>
      </c>
      <c r="B561">
        <v>3</v>
      </c>
      <c r="C561">
        <v>4</v>
      </c>
      <c r="D561">
        <v>2840</v>
      </c>
      <c r="E561">
        <v>28</v>
      </c>
      <c r="F561">
        <v>27613</v>
      </c>
    </row>
    <row r="562" spans="1:6">
      <c r="A562">
        <v>299000</v>
      </c>
      <c r="B562">
        <v>4</v>
      </c>
      <c r="C562">
        <v>2.5</v>
      </c>
      <c r="D562">
        <v>2170</v>
      </c>
      <c r="E562">
        <v>51</v>
      </c>
      <c r="F562">
        <v>27612</v>
      </c>
    </row>
    <row r="563" spans="1:6">
      <c r="A563">
        <v>299000</v>
      </c>
      <c r="B563">
        <v>4</v>
      </c>
      <c r="C563">
        <v>2.5</v>
      </c>
      <c r="D563">
        <v>2604</v>
      </c>
      <c r="E563">
        <v>44</v>
      </c>
      <c r="F563">
        <v>27615</v>
      </c>
    </row>
    <row r="564" spans="1:6">
      <c r="A564">
        <v>299900</v>
      </c>
      <c r="B564">
        <v>3</v>
      </c>
      <c r="C564">
        <v>2.5</v>
      </c>
      <c r="D564">
        <v>2460</v>
      </c>
      <c r="E564">
        <v>19</v>
      </c>
      <c r="F564">
        <v>27613</v>
      </c>
    </row>
    <row r="565" spans="1:6">
      <c r="A565">
        <v>299900</v>
      </c>
      <c r="B565">
        <v>4</v>
      </c>
      <c r="C565">
        <v>3</v>
      </c>
      <c r="D565">
        <v>2280</v>
      </c>
      <c r="E565">
        <v>49</v>
      </c>
      <c r="F565">
        <v>27612</v>
      </c>
    </row>
    <row r="566" spans="1:6">
      <c r="A566">
        <v>299900</v>
      </c>
      <c r="B566">
        <v>3</v>
      </c>
      <c r="C566">
        <v>2.5</v>
      </c>
      <c r="D566">
        <v>1900</v>
      </c>
      <c r="E566">
        <v>16</v>
      </c>
      <c r="F566">
        <v>27615</v>
      </c>
    </row>
    <row r="567" spans="1:6">
      <c r="A567">
        <v>299900</v>
      </c>
      <c r="B567">
        <v>4</v>
      </c>
      <c r="C567">
        <v>3</v>
      </c>
      <c r="D567">
        <v>2265</v>
      </c>
      <c r="E567">
        <v>41</v>
      </c>
      <c r="F567">
        <v>27612</v>
      </c>
    </row>
    <row r="568" spans="1:6">
      <c r="A568">
        <v>299900</v>
      </c>
      <c r="B568">
        <v>5</v>
      </c>
      <c r="C568">
        <v>4</v>
      </c>
      <c r="D568">
        <v>3256</v>
      </c>
      <c r="E568">
        <v>12</v>
      </c>
      <c r="F568">
        <v>27616</v>
      </c>
    </row>
    <row r="569" spans="1:6">
      <c r="A569">
        <v>299900</v>
      </c>
      <c r="B569">
        <v>4</v>
      </c>
      <c r="C569">
        <v>2.5</v>
      </c>
      <c r="D569">
        <v>2390</v>
      </c>
      <c r="E569">
        <v>21</v>
      </c>
      <c r="F569">
        <v>27615</v>
      </c>
    </row>
    <row r="570" spans="1:6">
      <c r="A570">
        <v>299900</v>
      </c>
      <c r="B570">
        <v>4</v>
      </c>
      <c r="C570">
        <v>3</v>
      </c>
      <c r="D570">
        <v>2744</v>
      </c>
      <c r="E570">
        <v>38</v>
      </c>
      <c r="F570">
        <v>27609</v>
      </c>
    </row>
    <row r="571" spans="1:6">
      <c r="A571">
        <v>299900</v>
      </c>
      <c r="B571">
        <v>4</v>
      </c>
      <c r="C571">
        <v>2.5</v>
      </c>
      <c r="D571">
        <v>2500</v>
      </c>
      <c r="E571">
        <v>17</v>
      </c>
      <c r="F571">
        <v>27614</v>
      </c>
    </row>
    <row r="572" spans="1:6">
      <c r="A572">
        <v>300000</v>
      </c>
      <c r="B572">
        <v>3</v>
      </c>
      <c r="C572">
        <v>1.5</v>
      </c>
      <c r="D572">
        <v>1412</v>
      </c>
      <c r="E572">
        <v>61</v>
      </c>
      <c r="F572">
        <v>27607</v>
      </c>
    </row>
    <row r="573" spans="1:6">
      <c r="A573">
        <v>300000</v>
      </c>
      <c r="B573">
        <v>5</v>
      </c>
      <c r="C573">
        <v>3.5</v>
      </c>
      <c r="D573">
        <v>3844</v>
      </c>
      <c r="E573">
        <v>6</v>
      </c>
      <c r="F573">
        <v>27616</v>
      </c>
    </row>
    <row r="574" spans="1:6">
      <c r="A574">
        <v>300000</v>
      </c>
      <c r="B574">
        <v>3</v>
      </c>
      <c r="C574">
        <v>2</v>
      </c>
      <c r="D574">
        <v>1625</v>
      </c>
      <c r="E574">
        <v>47</v>
      </c>
      <c r="F574">
        <v>27610</v>
      </c>
    </row>
    <row r="575" spans="1:6">
      <c r="A575">
        <v>300000</v>
      </c>
      <c r="B575">
        <v>5</v>
      </c>
      <c r="C575">
        <v>4</v>
      </c>
      <c r="D575">
        <v>3159</v>
      </c>
      <c r="E575">
        <v>5</v>
      </c>
      <c r="F575">
        <v>27616</v>
      </c>
    </row>
    <row r="576" spans="1:6">
      <c r="A576">
        <v>304900</v>
      </c>
      <c r="B576">
        <v>3</v>
      </c>
      <c r="C576">
        <v>2.5</v>
      </c>
      <c r="D576">
        <v>2120</v>
      </c>
      <c r="E576">
        <v>15</v>
      </c>
      <c r="F576">
        <v>27614</v>
      </c>
    </row>
    <row r="577" spans="1:6">
      <c r="A577">
        <v>305000</v>
      </c>
      <c r="B577">
        <v>3</v>
      </c>
      <c r="C577">
        <v>2.5</v>
      </c>
      <c r="D577">
        <v>2114</v>
      </c>
      <c r="E577">
        <v>51</v>
      </c>
      <c r="F577">
        <v>27612</v>
      </c>
    </row>
    <row r="578" spans="1:6">
      <c r="A578">
        <v>305000</v>
      </c>
      <c r="B578">
        <v>3</v>
      </c>
      <c r="C578">
        <v>2</v>
      </c>
      <c r="D578">
        <v>1723</v>
      </c>
      <c r="E578">
        <v>65</v>
      </c>
      <c r="F578">
        <v>27604</v>
      </c>
    </row>
    <row r="579" spans="1:6">
      <c r="A579">
        <v>309000</v>
      </c>
      <c r="B579">
        <v>3</v>
      </c>
      <c r="C579">
        <v>2.5</v>
      </c>
      <c r="D579">
        <v>2124</v>
      </c>
      <c r="E579">
        <v>26</v>
      </c>
      <c r="F579">
        <v>27615</v>
      </c>
    </row>
    <row r="580" spans="1:6">
      <c r="A580">
        <v>309000</v>
      </c>
      <c r="B580">
        <v>2</v>
      </c>
      <c r="C580">
        <v>2</v>
      </c>
      <c r="D580">
        <v>1349</v>
      </c>
      <c r="E580">
        <v>94</v>
      </c>
      <c r="F580">
        <v>27604</v>
      </c>
    </row>
    <row r="581" spans="1:6">
      <c r="A581">
        <v>309900</v>
      </c>
      <c r="B581">
        <v>3</v>
      </c>
      <c r="C581">
        <v>2</v>
      </c>
      <c r="D581">
        <v>1857</v>
      </c>
      <c r="E581">
        <v>34</v>
      </c>
      <c r="F581">
        <v>27613</v>
      </c>
    </row>
    <row r="582" spans="1:6">
      <c r="A582">
        <v>309900</v>
      </c>
      <c r="B582">
        <v>4</v>
      </c>
      <c r="C582">
        <v>2.5</v>
      </c>
      <c r="D582">
        <v>2580</v>
      </c>
      <c r="E582">
        <v>10</v>
      </c>
      <c r="F582">
        <v>27613</v>
      </c>
    </row>
    <row r="583" spans="1:6">
      <c r="A583">
        <v>309900</v>
      </c>
      <c r="B583">
        <v>4</v>
      </c>
      <c r="C583">
        <v>3</v>
      </c>
      <c r="D583">
        <v>2605</v>
      </c>
      <c r="E583">
        <v>4</v>
      </c>
      <c r="F583">
        <v>27606</v>
      </c>
    </row>
    <row r="584" spans="1:6">
      <c r="A584">
        <v>309900</v>
      </c>
      <c r="B584">
        <v>4</v>
      </c>
      <c r="C584">
        <v>2.5</v>
      </c>
      <c r="D584">
        <v>2100</v>
      </c>
      <c r="E584">
        <v>42</v>
      </c>
      <c r="F584">
        <v>27615</v>
      </c>
    </row>
    <row r="585" spans="1:6">
      <c r="A585">
        <v>310000</v>
      </c>
      <c r="B585">
        <v>4</v>
      </c>
      <c r="C585">
        <v>3</v>
      </c>
      <c r="D585">
        <v>2524</v>
      </c>
      <c r="E585">
        <v>35</v>
      </c>
      <c r="F585">
        <v>27612</v>
      </c>
    </row>
    <row r="586" spans="1:6">
      <c r="A586">
        <v>312000</v>
      </c>
      <c r="B586">
        <v>4</v>
      </c>
      <c r="C586">
        <v>2.5</v>
      </c>
      <c r="D586">
        <v>2576</v>
      </c>
      <c r="E586">
        <v>8</v>
      </c>
      <c r="F586">
        <v>27613</v>
      </c>
    </row>
    <row r="587" spans="1:6">
      <c r="A587">
        <v>312000</v>
      </c>
      <c r="B587">
        <v>5</v>
      </c>
      <c r="C587">
        <v>3</v>
      </c>
      <c r="D587">
        <v>2860</v>
      </c>
      <c r="E587">
        <v>37</v>
      </c>
      <c r="F587">
        <v>27610</v>
      </c>
    </row>
    <row r="588" spans="1:6">
      <c r="A588">
        <v>314900</v>
      </c>
      <c r="B588">
        <v>3</v>
      </c>
      <c r="C588">
        <v>2.5</v>
      </c>
      <c r="D588">
        <v>2238</v>
      </c>
      <c r="E588">
        <v>7</v>
      </c>
      <c r="F588">
        <v>27614</v>
      </c>
    </row>
    <row r="589" spans="1:6">
      <c r="A589">
        <v>316500</v>
      </c>
      <c r="B589">
        <v>3</v>
      </c>
      <c r="C589">
        <v>3.5</v>
      </c>
      <c r="D589">
        <v>2335</v>
      </c>
      <c r="E589">
        <v>14</v>
      </c>
      <c r="F589">
        <v>27614</v>
      </c>
    </row>
    <row r="590" spans="1:6">
      <c r="A590">
        <v>317500</v>
      </c>
      <c r="B590">
        <v>4</v>
      </c>
      <c r="C590">
        <v>2.5</v>
      </c>
      <c r="D590">
        <v>2813</v>
      </c>
      <c r="E590">
        <v>19</v>
      </c>
      <c r="F590">
        <v>27614</v>
      </c>
    </row>
    <row r="591" spans="1:6">
      <c r="A591">
        <v>318000</v>
      </c>
      <c r="B591">
        <v>5</v>
      </c>
      <c r="C591">
        <v>3.5</v>
      </c>
      <c r="D591">
        <v>3533</v>
      </c>
      <c r="E591">
        <v>9</v>
      </c>
      <c r="F591">
        <v>27614</v>
      </c>
    </row>
    <row r="592" spans="1:6">
      <c r="A592">
        <v>319500</v>
      </c>
      <c r="B592">
        <v>3</v>
      </c>
      <c r="C592">
        <v>2.5</v>
      </c>
      <c r="D592">
        <v>2202</v>
      </c>
      <c r="E592">
        <v>9</v>
      </c>
      <c r="F592">
        <v>27614</v>
      </c>
    </row>
    <row r="593" spans="1:6">
      <c r="A593">
        <v>319899</v>
      </c>
      <c r="B593">
        <v>4</v>
      </c>
      <c r="C593">
        <v>2.5</v>
      </c>
      <c r="D593">
        <v>2085</v>
      </c>
      <c r="E593">
        <v>42</v>
      </c>
      <c r="F593">
        <v>27615</v>
      </c>
    </row>
    <row r="594" spans="1:6">
      <c r="A594">
        <v>320000</v>
      </c>
      <c r="B594">
        <v>2</v>
      </c>
      <c r="C594">
        <v>2</v>
      </c>
      <c r="D594">
        <v>1303</v>
      </c>
      <c r="E594">
        <v>89</v>
      </c>
      <c r="F594">
        <v>27608</v>
      </c>
    </row>
    <row r="595" spans="1:6">
      <c r="A595">
        <v>324500</v>
      </c>
      <c r="B595">
        <v>3</v>
      </c>
      <c r="C595">
        <v>2</v>
      </c>
      <c r="D595">
        <v>1818</v>
      </c>
      <c r="E595">
        <v>68</v>
      </c>
      <c r="F595">
        <v>27604</v>
      </c>
    </row>
    <row r="596" spans="1:6">
      <c r="A596">
        <v>324900</v>
      </c>
      <c r="B596">
        <v>5</v>
      </c>
      <c r="C596">
        <v>3.5</v>
      </c>
      <c r="D596">
        <v>3176</v>
      </c>
      <c r="E596">
        <v>21</v>
      </c>
      <c r="F596">
        <v>27615</v>
      </c>
    </row>
    <row r="597" spans="1:6">
      <c r="A597">
        <v>324900</v>
      </c>
      <c r="B597">
        <v>4</v>
      </c>
      <c r="C597">
        <v>4</v>
      </c>
      <c r="D597">
        <v>3568</v>
      </c>
      <c r="E597">
        <v>28</v>
      </c>
      <c r="F597">
        <v>27615</v>
      </c>
    </row>
    <row r="598" spans="1:6">
      <c r="A598">
        <v>325000</v>
      </c>
      <c r="B598">
        <v>5</v>
      </c>
      <c r="C598">
        <v>2.5</v>
      </c>
      <c r="D598">
        <v>2462</v>
      </c>
      <c r="E598">
        <v>56</v>
      </c>
      <c r="F598">
        <v>27606</v>
      </c>
    </row>
    <row r="599" spans="1:6">
      <c r="A599">
        <v>325000</v>
      </c>
      <c r="B599">
        <v>3</v>
      </c>
      <c r="C599">
        <v>2.5</v>
      </c>
      <c r="D599">
        <v>2215</v>
      </c>
      <c r="E599">
        <v>3</v>
      </c>
      <c r="F599">
        <v>27606</v>
      </c>
    </row>
    <row r="600" spans="1:6">
      <c r="A600">
        <v>325000</v>
      </c>
      <c r="B600">
        <v>4</v>
      </c>
      <c r="C600">
        <v>2.5</v>
      </c>
      <c r="D600">
        <v>3010</v>
      </c>
      <c r="E600">
        <v>9</v>
      </c>
      <c r="F600">
        <v>27614</v>
      </c>
    </row>
    <row r="601" spans="1:6">
      <c r="A601">
        <v>325000</v>
      </c>
      <c r="B601">
        <v>5</v>
      </c>
      <c r="C601">
        <v>4</v>
      </c>
      <c r="D601">
        <v>4726</v>
      </c>
      <c r="E601">
        <v>8</v>
      </c>
      <c r="F601">
        <v>27610</v>
      </c>
    </row>
    <row r="602" spans="1:6">
      <c r="A602">
        <v>325000</v>
      </c>
      <c r="B602">
        <v>3</v>
      </c>
      <c r="C602">
        <v>2.5</v>
      </c>
      <c r="D602">
        <v>1832</v>
      </c>
      <c r="E602">
        <v>52</v>
      </c>
      <c r="F602">
        <v>27609</v>
      </c>
    </row>
    <row r="603" spans="1:6">
      <c r="A603">
        <v>325000</v>
      </c>
      <c r="B603">
        <v>4</v>
      </c>
      <c r="C603">
        <v>2</v>
      </c>
      <c r="D603">
        <v>1869</v>
      </c>
      <c r="E603">
        <v>74</v>
      </c>
      <c r="F603">
        <v>27609</v>
      </c>
    </row>
    <row r="604" spans="1:6">
      <c r="A604">
        <v>325000</v>
      </c>
      <c r="B604">
        <v>4</v>
      </c>
      <c r="C604">
        <v>3</v>
      </c>
      <c r="D604">
        <v>2885</v>
      </c>
      <c r="E604">
        <v>36</v>
      </c>
      <c r="F604">
        <v>27615</v>
      </c>
    </row>
    <row r="605" spans="1:6">
      <c r="A605">
        <v>328900</v>
      </c>
      <c r="B605">
        <v>5</v>
      </c>
      <c r="C605">
        <v>3</v>
      </c>
      <c r="D605">
        <v>2854</v>
      </c>
      <c r="E605">
        <v>35</v>
      </c>
      <c r="F605">
        <v>27615</v>
      </c>
    </row>
    <row r="606" spans="1:6">
      <c r="A606">
        <v>329000</v>
      </c>
      <c r="B606">
        <v>4</v>
      </c>
      <c r="C606">
        <v>3.5</v>
      </c>
      <c r="D606">
        <v>4778</v>
      </c>
      <c r="E606">
        <v>34</v>
      </c>
      <c r="F606">
        <v>27615</v>
      </c>
    </row>
    <row r="607" spans="1:6">
      <c r="A607">
        <v>329595</v>
      </c>
      <c r="B607">
        <v>5</v>
      </c>
      <c r="C607">
        <v>4</v>
      </c>
      <c r="D607">
        <v>4045</v>
      </c>
      <c r="E607">
        <v>10</v>
      </c>
      <c r="F607">
        <v>27614</v>
      </c>
    </row>
    <row r="608" spans="1:6">
      <c r="A608">
        <v>329900</v>
      </c>
      <c r="B608">
        <v>5</v>
      </c>
      <c r="C608">
        <v>2</v>
      </c>
      <c r="D608">
        <v>2401</v>
      </c>
      <c r="E608">
        <v>47</v>
      </c>
      <c r="F608">
        <v>27609</v>
      </c>
    </row>
    <row r="609" spans="1:6">
      <c r="A609">
        <v>329900</v>
      </c>
      <c r="B609">
        <v>4</v>
      </c>
      <c r="C609">
        <v>2.5</v>
      </c>
      <c r="D609">
        <v>2781</v>
      </c>
      <c r="E609">
        <v>13</v>
      </c>
      <c r="F609">
        <v>27614</v>
      </c>
    </row>
    <row r="610" spans="1:6">
      <c r="A610">
        <v>330000</v>
      </c>
      <c r="B610">
        <v>4</v>
      </c>
      <c r="C610">
        <v>2.5</v>
      </c>
      <c r="D610">
        <v>2580</v>
      </c>
      <c r="E610">
        <v>35</v>
      </c>
      <c r="F610">
        <v>27612</v>
      </c>
    </row>
    <row r="611" spans="1:6">
      <c r="A611">
        <v>330000</v>
      </c>
      <c r="B611">
        <v>3</v>
      </c>
      <c r="C611">
        <v>1.5</v>
      </c>
      <c r="D611">
        <v>1656</v>
      </c>
      <c r="E611">
        <v>63</v>
      </c>
      <c r="F611">
        <v>27605</v>
      </c>
    </row>
    <row r="612" spans="1:6">
      <c r="A612">
        <v>330365</v>
      </c>
      <c r="B612">
        <v>5</v>
      </c>
      <c r="C612">
        <v>3</v>
      </c>
      <c r="D612">
        <v>3045</v>
      </c>
      <c r="E612">
        <v>1</v>
      </c>
      <c r="F612">
        <v>27610</v>
      </c>
    </row>
    <row r="613" spans="1:6">
      <c r="A613">
        <v>332000</v>
      </c>
      <c r="B613">
        <v>4</v>
      </c>
      <c r="C613">
        <v>2.5</v>
      </c>
      <c r="D613">
        <v>2550</v>
      </c>
      <c r="E613">
        <v>30</v>
      </c>
      <c r="F613">
        <v>27615</v>
      </c>
    </row>
    <row r="614" spans="1:6">
      <c r="A614">
        <v>332890</v>
      </c>
      <c r="B614">
        <v>4</v>
      </c>
      <c r="C614">
        <v>4</v>
      </c>
      <c r="D614">
        <v>3721</v>
      </c>
      <c r="E614">
        <v>0</v>
      </c>
      <c r="F614">
        <v>27592</v>
      </c>
    </row>
    <row r="615" spans="1:6">
      <c r="A615">
        <v>334900</v>
      </c>
      <c r="B615">
        <v>4</v>
      </c>
      <c r="C615">
        <v>2.5</v>
      </c>
      <c r="D615">
        <v>3165</v>
      </c>
      <c r="E615">
        <v>21</v>
      </c>
      <c r="F615">
        <v>27615</v>
      </c>
    </row>
    <row r="616" spans="1:6">
      <c r="A616">
        <v>335000</v>
      </c>
      <c r="B616">
        <v>4</v>
      </c>
      <c r="C616">
        <v>3.5</v>
      </c>
      <c r="D616">
        <v>3009</v>
      </c>
      <c r="E616">
        <v>45</v>
      </c>
      <c r="F616">
        <v>27606</v>
      </c>
    </row>
    <row r="617" spans="1:6">
      <c r="A617">
        <v>338500</v>
      </c>
      <c r="B617">
        <v>4</v>
      </c>
      <c r="C617">
        <v>2.5</v>
      </c>
      <c r="D617">
        <v>2802</v>
      </c>
      <c r="E617">
        <v>35</v>
      </c>
      <c r="F617">
        <v>27615</v>
      </c>
    </row>
    <row r="618" spans="1:6">
      <c r="A618">
        <v>339000</v>
      </c>
      <c r="B618">
        <v>5</v>
      </c>
      <c r="C618">
        <v>4</v>
      </c>
      <c r="D618">
        <v>3504</v>
      </c>
      <c r="E618">
        <v>49</v>
      </c>
      <c r="F618">
        <v>27612</v>
      </c>
    </row>
    <row r="619" spans="1:6">
      <c r="A619">
        <v>339000</v>
      </c>
      <c r="B619">
        <v>4</v>
      </c>
      <c r="C619">
        <v>2.5</v>
      </c>
      <c r="D619">
        <v>2130</v>
      </c>
      <c r="E619">
        <v>56</v>
      </c>
      <c r="F619">
        <v>27601</v>
      </c>
    </row>
    <row r="620" spans="1:6">
      <c r="A620">
        <v>339000</v>
      </c>
      <c r="B620">
        <v>4</v>
      </c>
      <c r="C620">
        <v>2.5</v>
      </c>
      <c r="D620">
        <v>2810</v>
      </c>
      <c r="E620">
        <v>29</v>
      </c>
      <c r="F620">
        <v>27615</v>
      </c>
    </row>
    <row r="621" spans="1:6">
      <c r="A621">
        <v>339500</v>
      </c>
      <c r="B621">
        <v>4</v>
      </c>
      <c r="C621">
        <v>2.5</v>
      </c>
      <c r="D621">
        <v>2364</v>
      </c>
      <c r="E621">
        <v>11</v>
      </c>
      <c r="F621">
        <v>27614</v>
      </c>
    </row>
    <row r="622" spans="1:6">
      <c r="A622">
        <v>339900</v>
      </c>
      <c r="B622">
        <v>3</v>
      </c>
      <c r="C622">
        <v>2.5</v>
      </c>
      <c r="D622">
        <v>2662</v>
      </c>
      <c r="E622">
        <v>21</v>
      </c>
      <c r="F622">
        <v>27613</v>
      </c>
    </row>
    <row r="623" spans="1:6">
      <c r="A623">
        <v>339900</v>
      </c>
      <c r="B623">
        <v>5</v>
      </c>
      <c r="C623">
        <v>4</v>
      </c>
      <c r="D623">
        <v>3275</v>
      </c>
      <c r="E623">
        <v>1</v>
      </c>
      <c r="F623">
        <v>27603</v>
      </c>
    </row>
    <row r="624" spans="1:6">
      <c r="A624">
        <v>344900</v>
      </c>
      <c r="B624">
        <v>4</v>
      </c>
      <c r="C624">
        <v>2.5</v>
      </c>
      <c r="D624">
        <v>2780</v>
      </c>
      <c r="E624">
        <v>31</v>
      </c>
      <c r="F624">
        <v>27615</v>
      </c>
    </row>
    <row r="625" spans="1:6">
      <c r="A625">
        <v>344900</v>
      </c>
      <c r="B625">
        <v>3</v>
      </c>
      <c r="C625">
        <v>2.5</v>
      </c>
      <c r="D625">
        <v>2310</v>
      </c>
      <c r="E625">
        <v>15</v>
      </c>
      <c r="F625">
        <v>27615</v>
      </c>
    </row>
    <row r="626" spans="1:6">
      <c r="A626">
        <v>344900</v>
      </c>
      <c r="B626">
        <v>4</v>
      </c>
      <c r="C626">
        <v>2.5</v>
      </c>
      <c r="D626">
        <v>2808</v>
      </c>
      <c r="E626">
        <v>29</v>
      </c>
      <c r="F626">
        <v>27615</v>
      </c>
    </row>
    <row r="627" spans="1:6">
      <c r="A627">
        <v>345000</v>
      </c>
      <c r="B627">
        <v>3</v>
      </c>
      <c r="C627">
        <v>2.5</v>
      </c>
      <c r="D627">
        <v>2225</v>
      </c>
      <c r="E627">
        <v>20</v>
      </c>
      <c r="F627">
        <v>27613</v>
      </c>
    </row>
    <row r="628" spans="1:6">
      <c r="A628">
        <v>345000</v>
      </c>
      <c r="B628">
        <v>4</v>
      </c>
      <c r="C628">
        <v>2.5</v>
      </c>
      <c r="D628">
        <v>2800</v>
      </c>
      <c r="E628">
        <v>13</v>
      </c>
      <c r="F628">
        <v>27614</v>
      </c>
    </row>
    <row r="629" spans="1:6">
      <c r="A629">
        <v>345795</v>
      </c>
      <c r="B629">
        <v>4</v>
      </c>
      <c r="C629">
        <v>2.5</v>
      </c>
      <c r="D629">
        <v>3129</v>
      </c>
      <c r="E629">
        <v>1</v>
      </c>
      <c r="F629">
        <v>27571</v>
      </c>
    </row>
    <row r="630" spans="1:6">
      <c r="A630">
        <v>348220</v>
      </c>
      <c r="B630">
        <v>4</v>
      </c>
      <c r="C630">
        <v>3.5</v>
      </c>
      <c r="D630">
        <v>3289</v>
      </c>
      <c r="E630">
        <v>0</v>
      </c>
      <c r="F630">
        <v>27603</v>
      </c>
    </row>
    <row r="631" spans="1:6">
      <c r="A631">
        <v>349000</v>
      </c>
      <c r="B631">
        <v>4</v>
      </c>
      <c r="C631">
        <v>2</v>
      </c>
      <c r="D631">
        <v>1631</v>
      </c>
      <c r="E631">
        <v>64</v>
      </c>
      <c r="F631">
        <v>27608</v>
      </c>
    </row>
    <row r="632" spans="1:6">
      <c r="A632">
        <v>349000</v>
      </c>
      <c r="B632">
        <v>3</v>
      </c>
      <c r="C632">
        <v>1</v>
      </c>
      <c r="D632">
        <v>1260</v>
      </c>
      <c r="E632">
        <v>82</v>
      </c>
      <c r="F632">
        <v>27605</v>
      </c>
    </row>
    <row r="633" spans="1:6">
      <c r="A633">
        <v>349500</v>
      </c>
      <c r="B633">
        <v>3</v>
      </c>
      <c r="C633">
        <v>2.5</v>
      </c>
      <c r="D633">
        <v>2181</v>
      </c>
      <c r="E633">
        <v>3</v>
      </c>
      <c r="F633">
        <v>27607</v>
      </c>
    </row>
    <row r="634" spans="1:6">
      <c r="A634">
        <v>349900</v>
      </c>
      <c r="B634">
        <v>4</v>
      </c>
      <c r="C634">
        <v>3.5</v>
      </c>
      <c r="D634">
        <v>3000</v>
      </c>
      <c r="E634">
        <v>11</v>
      </c>
      <c r="F634">
        <v>27614</v>
      </c>
    </row>
    <row r="635" spans="1:6">
      <c r="A635">
        <v>349900</v>
      </c>
      <c r="B635">
        <v>5</v>
      </c>
      <c r="C635">
        <v>3.5</v>
      </c>
      <c r="D635">
        <v>2789</v>
      </c>
      <c r="E635">
        <v>29</v>
      </c>
      <c r="F635">
        <v>27615</v>
      </c>
    </row>
    <row r="636" spans="1:6">
      <c r="A636">
        <v>349900</v>
      </c>
      <c r="B636">
        <v>4</v>
      </c>
      <c r="C636">
        <v>3</v>
      </c>
      <c r="D636">
        <v>2880</v>
      </c>
      <c r="E636">
        <v>0</v>
      </c>
      <c r="F636">
        <v>27603</v>
      </c>
    </row>
    <row r="637" spans="1:6">
      <c r="A637">
        <v>349900</v>
      </c>
      <c r="B637">
        <v>4</v>
      </c>
      <c r="C637">
        <v>2</v>
      </c>
      <c r="D637">
        <v>1624</v>
      </c>
      <c r="E637">
        <v>59</v>
      </c>
      <c r="F637">
        <v>27608</v>
      </c>
    </row>
    <row r="638" spans="1:6">
      <c r="A638">
        <v>349900</v>
      </c>
      <c r="B638">
        <v>3</v>
      </c>
      <c r="C638">
        <v>2</v>
      </c>
      <c r="D638">
        <v>1349</v>
      </c>
      <c r="E638">
        <v>64</v>
      </c>
      <c r="F638">
        <v>27608</v>
      </c>
    </row>
    <row r="639" spans="1:6">
      <c r="A639">
        <v>350000</v>
      </c>
      <c r="B639">
        <v>3</v>
      </c>
      <c r="C639">
        <v>2.5</v>
      </c>
      <c r="D639">
        <v>2300</v>
      </c>
      <c r="E639">
        <v>26</v>
      </c>
      <c r="F639">
        <v>27613</v>
      </c>
    </row>
    <row r="640" spans="1:6">
      <c r="A640">
        <v>350000</v>
      </c>
      <c r="B640">
        <v>3</v>
      </c>
      <c r="C640">
        <v>2.5</v>
      </c>
      <c r="D640">
        <v>2122</v>
      </c>
      <c r="E640">
        <v>1</v>
      </c>
      <c r="F640">
        <v>27607</v>
      </c>
    </row>
    <row r="641" spans="1:6">
      <c r="A641">
        <v>350000</v>
      </c>
      <c r="B641">
        <v>4</v>
      </c>
      <c r="C641">
        <v>3.5</v>
      </c>
      <c r="D641">
        <v>3975</v>
      </c>
      <c r="E641">
        <v>6</v>
      </c>
      <c r="F641">
        <v>27616</v>
      </c>
    </row>
    <row r="642" spans="1:6">
      <c r="A642">
        <v>350000</v>
      </c>
      <c r="B642">
        <v>3</v>
      </c>
      <c r="C642">
        <v>2</v>
      </c>
      <c r="D642">
        <v>1335</v>
      </c>
      <c r="E642">
        <v>59</v>
      </c>
      <c r="F642">
        <v>27609</v>
      </c>
    </row>
    <row r="643" spans="1:6">
      <c r="A643">
        <v>350000</v>
      </c>
      <c r="B643">
        <v>2</v>
      </c>
      <c r="C643">
        <v>1</v>
      </c>
      <c r="D643">
        <v>1338</v>
      </c>
      <c r="E643">
        <v>75</v>
      </c>
      <c r="F643">
        <v>27608</v>
      </c>
    </row>
    <row r="644" spans="1:6">
      <c r="A644">
        <v>354900</v>
      </c>
      <c r="B644">
        <v>4</v>
      </c>
      <c r="C644">
        <v>3.5</v>
      </c>
      <c r="D644">
        <v>2112</v>
      </c>
      <c r="E644">
        <v>3</v>
      </c>
      <c r="F644">
        <v>27607</v>
      </c>
    </row>
    <row r="645" spans="1:6">
      <c r="A645">
        <v>355000</v>
      </c>
      <c r="B645">
        <v>2</v>
      </c>
      <c r="C645">
        <v>1</v>
      </c>
      <c r="D645">
        <v>1263</v>
      </c>
      <c r="E645">
        <v>63</v>
      </c>
      <c r="F645">
        <v>27607</v>
      </c>
    </row>
    <row r="646" spans="1:6">
      <c r="A646">
        <v>355000</v>
      </c>
      <c r="B646">
        <v>3</v>
      </c>
      <c r="C646">
        <v>2.5</v>
      </c>
      <c r="D646">
        <v>2578</v>
      </c>
      <c r="E646">
        <v>19</v>
      </c>
      <c r="F646">
        <v>27613</v>
      </c>
    </row>
    <row r="647" spans="1:6">
      <c r="A647">
        <v>359900</v>
      </c>
      <c r="B647">
        <v>3</v>
      </c>
      <c r="C647">
        <v>1</v>
      </c>
      <c r="D647">
        <v>1288</v>
      </c>
      <c r="E647">
        <v>60</v>
      </c>
      <c r="F647">
        <v>27607</v>
      </c>
    </row>
    <row r="648" spans="1:6">
      <c r="A648">
        <v>359900</v>
      </c>
      <c r="B648">
        <v>3</v>
      </c>
      <c r="C648">
        <v>2.5</v>
      </c>
      <c r="D648">
        <v>2343</v>
      </c>
      <c r="E648">
        <v>17</v>
      </c>
      <c r="F648">
        <v>27612</v>
      </c>
    </row>
    <row r="649" spans="1:6">
      <c r="A649">
        <v>360000</v>
      </c>
      <c r="B649">
        <v>2</v>
      </c>
      <c r="C649">
        <v>1</v>
      </c>
      <c r="D649">
        <v>1681</v>
      </c>
      <c r="E649">
        <v>61</v>
      </c>
      <c r="F649">
        <v>27607</v>
      </c>
    </row>
    <row r="650" spans="1:6">
      <c r="A650">
        <v>365000</v>
      </c>
      <c r="B650">
        <v>5</v>
      </c>
      <c r="C650">
        <v>3</v>
      </c>
      <c r="D650">
        <v>3150</v>
      </c>
      <c r="E650">
        <v>50</v>
      </c>
      <c r="F650">
        <v>27612</v>
      </c>
    </row>
    <row r="651" spans="1:6">
      <c r="A651">
        <v>365000</v>
      </c>
      <c r="B651">
        <v>4</v>
      </c>
      <c r="C651">
        <v>2.5</v>
      </c>
      <c r="D651">
        <v>3325</v>
      </c>
      <c r="E651">
        <v>20</v>
      </c>
      <c r="F651">
        <v>27613</v>
      </c>
    </row>
    <row r="652" spans="1:6">
      <c r="A652">
        <v>367500</v>
      </c>
      <c r="B652">
        <v>3</v>
      </c>
      <c r="C652">
        <v>2.5</v>
      </c>
      <c r="D652">
        <v>2333</v>
      </c>
      <c r="E652">
        <v>12</v>
      </c>
      <c r="F652">
        <v>27612</v>
      </c>
    </row>
    <row r="653" spans="1:6">
      <c r="A653">
        <v>369000</v>
      </c>
      <c r="B653">
        <v>4</v>
      </c>
      <c r="C653">
        <v>2.5</v>
      </c>
      <c r="D653">
        <v>3001</v>
      </c>
      <c r="E653">
        <v>27</v>
      </c>
      <c r="F653">
        <v>27615</v>
      </c>
    </row>
    <row r="654" spans="1:6">
      <c r="A654">
        <v>369000</v>
      </c>
      <c r="B654">
        <v>4</v>
      </c>
      <c r="C654">
        <v>3.5</v>
      </c>
      <c r="D654">
        <v>3086</v>
      </c>
      <c r="E654">
        <v>14</v>
      </c>
      <c r="F654">
        <v>27614</v>
      </c>
    </row>
    <row r="655" spans="1:6">
      <c r="A655">
        <v>369899</v>
      </c>
      <c r="B655">
        <v>3</v>
      </c>
      <c r="C655">
        <v>2</v>
      </c>
      <c r="D655">
        <v>2293</v>
      </c>
      <c r="E655">
        <v>48</v>
      </c>
      <c r="F655">
        <v>27612</v>
      </c>
    </row>
    <row r="656" spans="1:6">
      <c r="A656">
        <v>369900</v>
      </c>
      <c r="B656">
        <v>4</v>
      </c>
      <c r="C656">
        <v>2.5</v>
      </c>
      <c r="D656">
        <v>2741</v>
      </c>
      <c r="E656">
        <v>10</v>
      </c>
      <c r="F656">
        <v>27614</v>
      </c>
    </row>
    <row r="657" spans="1:6">
      <c r="A657">
        <v>369900</v>
      </c>
      <c r="B657">
        <v>4</v>
      </c>
      <c r="C657">
        <v>3</v>
      </c>
      <c r="D657">
        <v>3130</v>
      </c>
      <c r="E657">
        <v>6</v>
      </c>
      <c r="F657">
        <v>27609</v>
      </c>
    </row>
    <row r="658" spans="1:6">
      <c r="A658">
        <v>369900</v>
      </c>
      <c r="B658">
        <v>4</v>
      </c>
      <c r="C658">
        <v>3</v>
      </c>
      <c r="D658">
        <v>2359</v>
      </c>
      <c r="E658">
        <v>50</v>
      </c>
      <c r="F658">
        <v>27609</v>
      </c>
    </row>
    <row r="659" spans="1:6">
      <c r="A659">
        <v>372500</v>
      </c>
      <c r="B659">
        <v>3</v>
      </c>
      <c r="C659">
        <v>4.5</v>
      </c>
      <c r="D659">
        <v>4152</v>
      </c>
      <c r="E659">
        <v>23</v>
      </c>
      <c r="F659">
        <v>27587</v>
      </c>
    </row>
    <row r="660" spans="1:6">
      <c r="A660">
        <v>373275</v>
      </c>
      <c r="B660">
        <v>4</v>
      </c>
      <c r="C660">
        <v>3.5</v>
      </c>
      <c r="D660">
        <v>3313</v>
      </c>
      <c r="E660">
        <v>0</v>
      </c>
      <c r="F660">
        <v>27571</v>
      </c>
    </row>
    <row r="661" spans="1:6">
      <c r="A661">
        <v>374000</v>
      </c>
      <c r="B661">
        <v>4</v>
      </c>
      <c r="C661">
        <v>3</v>
      </c>
      <c r="D661">
        <v>2754</v>
      </c>
      <c r="E661">
        <v>19</v>
      </c>
      <c r="F661">
        <v>27613</v>
      </c>
    </row>
    <row r="662" spans="1:6">
      <c r="A662">
        <v>374899</v>
      </c>
      <c r="B662">
        <v>4</v>
      </c>
      <c r="C662">
        <v>2.5</v>
      </c>
      <c r="D662">
        <v>2761</v>
      </c>
      <c r="E662">
        <v>25</v>
      </c>
      <c r="F662">
        <v>27613</v>
      </c>
    </row>
    <row r="663" spans="1:6">
      <c r="A663">
        <v>375000</v>
      </c>
      <c r="B663">
        <v>4</v>
      </c>
      <c r="C663">
        <v>3.5</v>
      </c>
      <c r="D663">
        <v>2850</v>
      </c>
      <c r="E663">
        <v>0</v>
      </c>
      <c r="F663">
        <v>27612</v>
      </c>
    </row>
    <row r="664" spans="1:6">
      <c r="A664">
        <v>375000</v>
      </c>
      <c r="B664">
        <v>3</v>
      </c>
      <c r="C664">
        <v>2.5</v>
      </c>
      <c r="D664">
        <v>2882</v>
      </c>
      <c r="E664">
        <v>9</v>
      </c>
      <c r="F664">
        <v>27617</v>
      </c>
    </row>
    <row r="665" spans="1:6">
      <c r="A665">
        <v>375000</v>
      </c>
      <c r="B665">
        <v>4</v>
      </c>
      <c r="C665">
        <v>3</v>
      </c>
      <c r="D665">
        <v>2581</v>
      </c>
      <c r="E665">
        <v>17</v>
      </c>
      <c r="F665">
        <v>27615</v>
      </c>
    </row>
    <row r="666" spans="1:6">
      <c r="A666">
        <v>375000</v>
      </c>
      <c r="B666">
        <v>5</v>
      </c>
      <c r="C666">
        <v>3</v>
      </c>
      <c r="D666">
        <v>2350</v>
      </c>
      <c r="E666">
        <v>51</v>
      </c>
      <c r="F666">
        <v>27609</v>
      </c>
    </row>
    <row r="667" spans="1:6">
      <c r="A667">
        <v>375000</v>
      </c>
      <c r="B667">
        <v>4</v>
      </c>
      <c r="C667">
        <v>2.5</v>
      </c>
      <c r="D667">
        <v>3164</v>
      </c>
      <c r="E667">
        <v>16</v>
      </c>
      <c r="F667">
        <v>27614</v>
      </c>
    </row>
    <row r="668" spans="1:6">
      <c r="A668">
        <v>379000</v>
      </c>
      <c r="B668">
        <v>4</v>
      </c>
      <c r="C668">
        <v>3.5</v>
      </c>
      <c r="D668">
        <v>2728</v>
      </c>
      <c r="E668">
        <v>8</v>
      </c>
      <c r="F668">
        <v>27613</v>
      </c>
    </row>
    <row r="669" spans="1:6">
      <c r="A669">
        <v>379000</v>
      </c>
      <c r="B669">
        <v>5</v>
      </c>
      <c r="C669">
        <v>3</v>
      </c>
      <c r="D669">
        <v>3060</v>
      </c>
      <c r="E669">
        <v>14</v>
      </c>
      <c r="F669">
        <v>27614</v>
      </c>
    </row>
    <row r="670" spans="1:6">
      <c r="A670">
        <v>379900</v>
      </c>
      <c r="B670">
        <v>4</v>
      </c>
      <c r="C670">
        <v>3</v>
      </c>
      <c r="D670">
        <v>2792</v>
      </c>
      <c r="E670">
        <v>11</v>
      </c>
      <c r="F670">
        <v>27614</v>
      </c>
    </row>
    <row r="671" spans="1:6">
      <c r="A671">
        <v>380000</v>
      </c>
      <c r="B671">
        <v>3</v>
      </c>
      <c r="C671">
        <v>1.5</v>
      </c>
      <c r="D671">
        <v>1176</v>
      </c>
      <c r="E671">
        <v>63</v>
      </c>
      <c r="F671">
        <v>27607</v>
      </c>
    </row>
    <row r="672" spans="1:6">
      <c r="A672">
        <v>385000</v>
      </c>
      <c r="B672">
        <v>3</v>
      </c>
      <c r="C672">
        <v>2.5</v>
      </c>
      <c r="D672">
        <v>2325</v>
      </c>
      <c r="E672">
        <v>47</v>
      </c>
      <c r="F672">
        <v>27607</v>
      </c>
    </row>
    <row r="673" spans="1:6">
      <c r="A673">
        <v>385000</v>
      </c>
      <c r="B673">
        <v>4</v>
      </c>
      <c r="C673">
        <v>2.5</v>
      </c>
      <c r="D673">
        <v>2418</v>
      </c>
      <c r="E673">
        <v>8</v>
      </c>
      <c r="F673">
        <v>27604</v>
      </c>
    </row>
    <row r="674" spans="1:6">
      <c r="A674">
        <v>385000</v>
      </c>
      <c r="B674">
        <v>5</v>
      </c>
      <c r="C674">
        <v>3.5</v>
      </c>
      <c r="D674">
        <v>3132</v>
      </c>
      <c r="E674">
        <v>12</v>
      </c>
      <c r="F674">
        <v>27614</v>
      </c>
    </row>
    <row r="675" spans="1:6">
      <c r="A675">
        <v>388500</v>
      </c>
      <c r="B675">
        <v>4</v>
      </c>
      <c r="C675">
        <v>2.5</v>
      </c>
      <c r="D675">
        <v>2693</v>
      </c>
      <c r="E675">
        <v>9</v>
      </c>
      <c r="F675">
        <v>27613</v>
      </c>
    </row>
    <row r="676" spans="1:6">
      <c r="A676">
        <v>389000</v>
      </c>
      <c r="B676">
        <v>5</v>
      </c>
      <c r="C676">
        <v>4</v>
      </c>
      <c r="D676">
        <v>3725</v>
      </c>
      <c r="E676">
        <v>2</v>
      </c>
      <c r="F676">
        <v>27571</v>
      </c>
    </row>
    <row r="677" spans="1:6">
      <c r="A677">
        <v>389900</v>
      </c>
      <c r="B677">
        <v>4</v>
      </c>
      <c r="C677">
        <v>3</v>
      </c>
      <c r="D677">
        <v>3093</v>
      </c>
      <c r="E677">
        <v>47</v>
      </c>
      <c r="F677">
        <v>27607</v>
      </c>
    </row>
    <row r="678" spans="1:6">
      <c r="A678">
        <v>389900</v>
      </c>
      <c r="B678">
        <v>5</v>
      </c>
      <c r="C678">
        <v>3</v>
      </c>
      <c r="D678">
        <v>3723</v>
      </c>
      <c r="E678">
        <v>75</v>
      </c>
      <c r="F678">
        <v>27608</v>
      </c>
    </row>
    <row r="679" spans="1:6">
      <c r="A679">
        <v>390000</v>
      </c>
      <c r="B679">
        <v>5</v>
      </c>
      <c r="C679">
        <v>2.5</v>
      </c>
      <c r="D679">
        <v>3109</v>
      </c>
      <c r="E679">
        <v>12</v>
      </c>
      <c r="F679">
        <v>27614</v>
      </c>
    </row>
    <row r="680" spans="1:6">
      <c r="A680">
        <v>391900</v>
      </c>
      <c r="B680">
        <v>5</v>
      </c>
      <c r="C680">
        <v>2.5</v>
      </c>
      <c r="D680">
        <v>2812</v>
      </c>
      <c r="E680">
        <v>0</v>
      </c>
      <c r="F680">
        <v>27614</v>
      </c>
    </row>
    <row r="681" spans="1:6">
      <c r="A681">
        <v>395000</v>
      </c>
      <c r="B681">
        <v>5</v>
      </c>
      <c r="C681">
        <v>2.5</v>
      </c>
      <c r="D681">
        <v>3095</v>
      </c>
      <c r="E681">
        <v>29</v>
      </c>
      <c r="F681">
        <v>27613</v>
      </c>
    </row>
    <row r="682" spans="1:6">
      <c r="A682">
        <v>395000</v>
      </c>
      <c r="B682">
        <v>5</v>
      </c>
      <c r="C682">
        <v>3.5</v>
      </c>
      <c r="D682">
        <v>4240</v>
      </c>
      <c r="E682">
        <v>16</v>
      </c>
      <c r="F682">
        <v>27612</v>
      </c>
    </row>
    <row r="683" spans="1:6">
      <c r="A683">
        <v>395000</v>
      </c>
      <c r="B683">
        <v>4</v>
      </c>
      <c r="C683">
        <v>2.5</v>
      </c>
      <c r="D683">
        <v>3273</v>
      </c>
      <c r="E683">
        <v>10</v>
      </c>
      <c r="F683">
        <v>27614</v>
      </c>
    </row>
    <row r="684" spans="1:6">
      <c r="A684">
        <v>395000</v>
      </c>
      <c r="B684">
        <v>4</v>
      </c>
      <c r="C684">
        <v>3</v>
      </c>
      <c r="D684">
        <v>2792</v>
      </c>
      <c r="E684">
        <v>7</v>
      </c>
      <c r="F684">
        <v>27614</v>
      </c>
    </row>
    <row r="685" spans="1:6">
      <c r="A685">
        <v>395000</v>
      </c>
      <c r="B685">
        <v>5</v>
      </c>
      <c r="C685">
        <v>6</v>
      </c>
      <c r="D685">
        <v>4516</v>
      </c>
      <c r="E685">
        <v>7</v>
      </c>
      <c r="F685">
        <v>27614</v>
      </c>
    </row>
    <row r="686" spans="1:6">
      <c r="A686">
        <v>395000</v>
      </c>
      <c r="B686">
        <v>3</v>
      </c>
      <c r="C686">
        <v>3</v>
      </c>
      <c r="D686">
        <v>2987</v>
      </c>
      <c r="E686">
        <v>8</v>
      </c>
      <c r="F686">
        <v>27610</v>
      </c>
    </row>
    <row r="687" spans="1:6">
      <c r="A687">
        <v>395000</v>
      </c>
      <c r="B687">
        <v>3</v>
      </c>
      <c r="C687">
        <v>2.5</v>
      </c>
      <c r="D687">
        <v>1800</v>
      </c>
      <c r="E687">
        <v>0</v>
      </c>
      <c r="F687">
        <v>27604</v>
      </c>
    </row>
    <row r="688" spans="1:6">
      <c r="A688">
        <v>395000</v>
      </c>
      <c r="B688">
        <v>3</v>
      </c>
      <c r="C688">
        <v>2</v>
      </c>
      <c r="D688">
        <v>1713</v>
      </c>
      <c r="E688">
        <v>77</v>
      </c>
      <c r="F688">
        <v>27604</v>
      </c>
    </row>
    <row r="689" spans="1:6">
      <c r="A689">
        <v>395000</v>
      </c>
      <c r="B689">
        <v>3</v>
      </c>
      <c r="C689">
        <v>2</v>
      </c>
      <c r="D689">
        <v>1960</v>
      </c>
      <c r="E689">
        <v>77</v>
      </c>
      <c r="F689">
        <v>27608</v>
      </c>
    </row>
    <row r="690" spans="1:6">
      <c r="A690">
        <v>398500</v>
      </c>
      <c r="B690">
        <v>4</v>
      </c>
      <c r="C690">
        <v>2.5</v>
      </c>
      <c r="D690">
        <v>2497</v>
      </c>
      <c r="E690">
        <v>38</v>
      </c>
      <c r="F690">
        <v>27607</v>
      </c>
    </row>
    <row r="691" spans="1:6">
      <c r="A691">
        <v>398800</v>
      </c>
      <c r="B691">
        <v>4</v>
      </c>
      <c r="C691">
        <v>2.5</v>
      </c>
      <c r="D691">
        <v>3176</v>
      </c>
      <c r="E691">
        <v>15</v>
      </c>
      <c r="F691">
        <v>27614</v>
      </c>
    </row>
    <row r="692" spans="1:6">
      <c r="A692">
        <v>399000</v>
      </c>
      <c r="B692">
        <v>3</v>
      </c>
      <c r="C692">
        <v>2.5</v>
      </c>
      <c r="D692">
        <v>3010</v>
      </c>
      <c r="E692">
        <v>7</v>
      </c>
      <c r="F692">
        <v>27612</v>
      </c>
    </row>
    <row r="693" spans="1:6">
      <c r="A693">
        <v>399000</v>
      </c>
      <c r="B693">
        <v>3</v>
      </c>
      <c r="C693">
        <v>2.5</v>
      </c>
      <c r="D693">
        <v>2732</v>
      </c>
      <c r="E693">
        <v>9</v>
      </c>
      <c r="F693">
        <v>27614</v>
      </c>
    </row>
    <row r="694" spans="1:6">
      <c r="A694">
        <v>399000</v>
      </c>
      <c r="B694">
        <v>2</v>
      </c>
      <c r="C694">
        <v>2</v>
      </c>
      <c r="D694">
        <v>1201</v>
      </c>
      <c r="E694">
        <v>64</v>
      </c>
      <c r="F694">
        <v>27608</v>
      </c>
    </row>
    <row r="695" spans="1:6">
      <c r="A695">
        <v>399900</v>
      </c>
      <c r="B695">
        <v>4</v>
      </c>
      <c r="C695">
        <v>2.5</v>
      </c>
      <c r="D695">
        <v>3260</v>
      </c>
      <c r="E695">
        <v>9</v>
      </c>
      <c r="F695">
        <v>27614</v>
      </c>
    </row>
    <row r="696" spans="1:6">
      <c r="A696">
        <v>399900</v>
      </c>
      <c r="B696">
        <v>4</v>
      </c>
      <c r="C696">
        <v>3</v>
      </c>
      <c r="D696">
        <v>2160</v>
      </c>
      <c r="E696">
        <v>62</v>
      </c>
      <c r="F696">
        <v>27607</v>
      </c>
    </row>
    <row r="697" spans="1:6">
      <c r="A697">
        <v>399900</v>
      </c>
      <c r="B697">
        <v>5</v>
      </c>
      <c r="C697">
        <v>3</v>
      </c>
      <c r="D697">
        <v>3035</v>
      </c>
      <c r="E697">
        <v>8</v>
      </c>
      <c r="F697">
        <v>27614</v>
      </c>
    </row>
    <row r="698" spans="1:6">
      <c r="A698">
        <v>399900</v>
      </c>
      <c r="B698">
        <v>3</v>
      </c>
      <c r="C698">
        <v>2</v>
      </c>
      <c r="D698">
        <v>2711</v>
      </c>
      <c r="E698">
        <v>71</v>
      </c>
      <c r="F698">
        <v>27607</v>
      </c>
    </row>
    <row r="699" spans="1:6">
      <c r="A699">
        <v>399900</v>
      </c>
      <c r="B699">
        <v>5</v>
      </c>
      <c r="C699">
        <v>4</v>
      </c>
      <c r="D699">
        <v>3950</v>
      </c>
      <c r="E699">
        <v>24</v>
      </c>
      <c r="F699">
        <v>27615</v>
      </c>
    </row>
    <row r="700" spans="1:6">
      <c r="A700">
        <v>399900</v>
      </c>
      <c r="B700">
        <v>6</v>
      </c>
      <c r="C700">
        <v>5</v>
      </c>
      <c r="D700">
        <v>3711</v>
      </c>
      <c r="E700">
        <v>1</v>
      </c>
      <c r="F700">
        <v>27603</v>
      </c>
    </row>
    <row r="701" spans="1:6">
      <c r="A701">
        <v>399900</v>
      </c>
      <c r="B701">
        <v>5</v>
      </c>
      <c r="C701">
        <v>3.5</v>
      </c>
      <c r="D701">
        <v>3183</v>
      </c>
      <c r="E701">
        <v>30</v>
      </c>
      <c r="F701">
        <v>27609</v>
      </c>
    </row>
    <row r="702" spans="1:6">
      <c r="A702">
        <v>399999</v>
      </c>
      <c r="B702">
        <v>4</v>
      </c>
      <c r="C702">
        <v>2.5</v>
      </c>
      <c r="D702">
        <v>2972</v>
      </c>
      <c r="E702">
        <v>13</v>
      </c>
      <c r="F702">
        <v>27612</v>
      </c>
    </row>
    <row r="703" spans="1:6">
      <c r="A703">
        <v>404900</v>
      </c>
      <c r="B703">
        <v>3</v>
      </c>
      <c r="C703">
        <v>2.5</v>
      </c>
      <c r="D703">
        <v>2638</v>
      </c>
      <c r="E703">
        <v>14</v>
      </c>
      <c r="F703">
        <v>27612</v>
      </c>
    </row>
    <row r="704" spans="1:6">
      <c r="A704">
        <v>407900</v>
      </c>
      <c r="B704">
        <v>5</v>
      </c>
      <c r="C704">
        <v>3</v>
      </c>
      <c r="D704">
        <v>3023</v>
      </c>
      <c r="E704">
        <v>0</v>
      </c>
      <c r="F704">
        <v>27614</v>
      </c>
    </row>
    <row r="705" spans="1:6">
      <c r="A705">
        <v>407900</v>
      </c>
      <c r="B705">
        <v>5</v>
      </c>
      <c r="C705">
        <v>3.5</v>
      </c>
      <c r="D705">
        <v>2919</v>
      </c>
      <c r="E705">
        <v>8</v>
      </c>
      <c r="F705">
        <v>27614</v>
      </c>
    </row>
    <row r="706" spans="1:6">
      <c r="A706">
        <v>407990</v>
      </c>
      <c r="B706">
        <v>3</v>
      </c>
      <c r="C706">
        <v>3.5</v>
      </c>
      <c r="D706">
        <v>2898</v>
      </c>
      <c r="E706">
        <v>0</v>
      </c>
      <c r="F706">
        <v>27612</v>
      </c>
    </row>
    <row r="707" spans="1:6">
      <c r="A707">
        <v>409000</v>
      </c>
      <c r="B707">
        <v>3</v>
      </c>
      <c r="C707">
        <v>2.5</v>
      </c>
      <c r="D707">
        <v>2965</v>
      </c>
      <c r="E707">
        <v>8</v>
      </c>
      <c r="F707">
        <v>27617</v>
      </c>
    </row>
    <row r="708" spans="1:6">
      <c r="A708">
        <v>409900</v>
      </c>
      <c r="B708">
        <v>4</v>
      </c>
      <c r="C708">
        <v>3.5</v>
      </c>
      <c r="D708">
        <v>2885</v>
      </c>
      <c r="E708">
        <v>0</v>
      </c>
      <c r="F708">
        <v>27540</v>
      </c>
    </row>
    <row r="709" spans="1:6">
      <c r="A709">
        <v>412900</v>
      </c>
      <c r="B709">
        <v>5</v>
      </c>
      <c r="C709">
        <v>3.5</v>
      </c>
      <c r="D709">
        <v>2960</v>
      </c>
      <c r="E709">
        <v>0</v>
      </c>
      <c r="F709">
        <v>27540</v>
      </c>
    </row>
    <row r="710" spans="1:6">
      <c r="A710">
        <v>413759</v>
      </c>
      <c r="B710">
        <v>6</v>
      </c>
      <c r="C710">
        <v>5</v>
      </c>
      <c r="D710">
        <v>4316</v>
      </c>
      <c r="E710">
        <v>1</v>
      </c>
      <c r="F710">
        <v>27603</v>
      </c>
    </row>
    <row r="711" spans="1:6">
      <c r="A711">
        <v>414072</v>
      </c>
      <c r="B711">
        <v>3</v>
      </c>
      <c r="C711">
        <v>2.5</v>
      </c>
      <c r="D711">
        <v>2540</v>
      </c>
      <c r="E711">
        <v>0</v>
      </c>
      <c r="F711">
        <v>27612</v>
      </c>
    </row>
    <row r="712" spans="1:6">
      <c r="A712">
        <v>418141</v>
      </c>
      <c r="B712">
        <v>4</v>
      </c>
      <c r="C712">
        <v>4.5</v>
      </c>
      <c r="D712">
        <v>2893</v>
      </c>
      <c r="E712">
        <v>0</v>
      </c>
      <c r="F712">
        <v>27612</v>
      </c>
    </row>
    <row r="713" spans="1:6">
      <c r="A713">
        <v>419000</v>
      </c>
      <c r="B713">
        <v>4</v>
      </c>
      <c r="C713">
        <v>3.5</v>
      </c>
      <c r="D713">
        <v>3245</v>
      </c>
      <c r="E713">
        <v>9</v>
      </c>
      <c r="F713">
        <v>27614</v>
      </c>
    </row>
    <row r="714" spans="1:6">
      <c r="A714">
        <v>419900</v>
      </c>
      <c r="B714">
        <v>4</v>
      </c>
      <c r="C714">
        <v>3.5</v>
      </c>
      <c r="D714">
        <v>3250</v>
      </c>
      <c r="E714">
        <v>5</v>
      </c>
      <c r="F714">
        <v>27614</v>
      </c>
    </row>
    <row r="715" spans="1:6">
      <c r="A715">
        <v>419900</v>
      </c>
      <c r="B715">
        <v>5</v>
      </c>
      <c r="C715">
        <v>3.5</v>
      </c>
      <c r="D715">
        <v>3190</v>
      </c>
      <c r="E715">
        <v>44</v>
      </c>
      <c r="F715">
        <v>27615</v>
      </c>
    </row>
    <row r="716" spans="1:6">
      <c r="A716">
        <v>419900</v>
      </c>
      <c r="B716">
        <v>4</v>
      </c>
      <c r="C716">
        <v>3</v>
      </c>
      <c r="D716">
        <v>3450</v>
      </c>
      <c r="E716">
        <v>46</v>
      </c>
      <c r="F716">
        <v>27612</v>
      </c>
    </row>
    <row r="717" spans="1:6">
      <c r="A717">
        <v>420000</v>
      </c>
      <c r="B717">
        <v>3</v>
      </c>
      <c r="C717">
        <v>2.5</v>
      </c>
      <c r="D717">
        <v>2759</v>
      </c>
      <c r="E717">
        <v>31</v>
      </c>
      <c r="F717">
        <v>27612</v>
      </c>
    </row>
    <row r="718" spans="1:6">
      <c r="A718">
        <v>420000</v>
      </c>
      <c r="B718">
        <v>3</v>
      </c>
      <c r="C718">
        <v>2.5</v>
      </c>
      <c r="D718">
        <v>1970</v>
      </c>
      <c r="E718">
        <v>26</v>
      </c>
      <c r="F718">
        <v>27604</v>
      </c>
    </row>
    <row r="719" spans="1:6">
      <c r="A719">
        <v>421058</v>
      </c>
      <c r="B719">
        <v>3</v>
      </c>
      <c r="C719">
        <v>2.5</v>
      </c>
      <c r="D719">
        <v>2893</v>
      </c>
      <c r="E719">
        <v>0</v>
      </c>
      <c r="F719">
        <v>27612</v>
      </c>
    </row>
    <row r="720" spans="1:6">
      <c r="A720">
        <v>422500</v>
      </c>
      <c r="B720">
        <v>5</v>
      </c>
      <c r="C720">
        <v>4</v>
      </c>
      <c r="D720">
        <v>3206</v>
      </c>
      <c r="E720">
        <v>11</v>
      </c>
      <c r="F720">
        <v>27614</v>
      </c>
    </row>
    <row r="721" spans="1:6">
      <c r="A721">
        <v>424900</v>
      </c>
      <c r="B721">
        <v>5</v>
      </c>
      <c r="C721">
        <v>4</v>
      </c>
      <c r="D721">
        <v>4206</v>
      </c>
      <c r="E721">
        <v>7</v>
      </c>
      <c r="F721">
        <v>27614</v>
      </c>
    </row>
    <row r="722" spans="1:6">
      <c r="A722">
        <v>424990</v>
      </c>
      <c r="B722">
        <v>3</v>
      </c>
      <c r="C722">
        <v>3.5</v>
      </c>
      <c r="D722">
        <v>3096</v>
      </c>
      <c r="E722">
        <v>0</v>
      </c>
      <c r="F722">
        <v>27612</v>
      </c>
    </row>
    <row r="723" spans="1:6">
      <c r="A723">
        <v>425000</v>
      </c>
      <c r="B723">
        <v>5</v>
      </c>
      <c r="C723">
        <v>3.5</v>
      </c>
      <c r="D723">
        <v>3815</v>
      </c>
      <c r="E723">
        <v>10</v>
      </c>
      <c r="F723">
        <v>27613</v>
      </c>
    </row>
    <row r="724" spans="1:6">
      <c r="A724">
        <v>425000</v>
      </c>
      <c r="B724">
        <v>4</v>
      </c>
      <c r="C724">
        <v>4</v>
      </c>
      <c r="D724">
        <v>3656</v>
      </c>
      <c r="E724">
        <v>31</v>
      </c>
      <c r="F724">
        <v>27615</v>
      </c>
    </row>
    <row r="725" spans="1:6">
      <c r="A725">
        <v>425000</v>
      </c>
      <c r="B725">
        <v>5</v>
      </c>
      <c r="C725">
        <v>3</v>
      </c>
      <c r="D725">
        <v>3141</v>
      </c>
      <c r="E725">
        <v>3</v>
      </c>
      <c r="F725">
        <v>27164</v>
      </c>
    </row>
    <row r="726" spans="1:6">
      <c r="A726">
        <v>425000</v>
      </c>
      <c r="B726">
        <v>5</v>
      </c>
      <c r="C726">
        <v>4</v>
      </c>
      <c r="D726">
        <v>3664</v>
      </c>
      <c r="E726">
        <v>15</v>
      </c>
      <c r="F726">
        <v>27614</v>
      </c>
    </row>
    <row r="727" spans="1:6">
      <c r="A727">
        <v>425000</v>
      </c>
      <c r="B727">
        <v>4</v>
      </c>
      <c r="C727">
        <v>3</v>
      </c>
      <c r="D727">
        <v>3400</v>
      </c>
      <c r="E727">
        <v>14</v>
      </c>
      <c r="F727">
        <v>27614</v>
      </c>
    </row>
    <row r="728" spans="1:6">
      <c r="A728">
        <v>427000</v>
      </c>
      <c r="B728">
        <v>5</v>
      </c>
      <c r="C728">
        <v>4</v>
      </c>
      <c r="D728">
        <v>3045</v>
      </c>
      <c r="E728">
        <v>0</v>
      </c>
      <c r="F728">
        <v>27540</v>
      </c>
    </row>
    <row r="729" spans="1:6">
      <c r="A729">
        <v>428000</v>
      </c>
      <c r="B729">
        <v>5</v>
      </c>
      <c r="C729">
        <v>4</v>
      </c>
      <c r="D729">
        <v>3344</v>
      </c>
      <c r="E729">
        <v>1</v>
      </c>
      <c r="F729">
        <v>27614</v>
      </c>
    </row>
    <row r="730" spans="1:6">
      <c r="A730">
        <v>428000</v>
      </c>
      <c r="B730">
        <v>5</v>
      </c>
      <c r="C730">
        <v>4</v>
      </c>
      <c r="D730">
        <v>3344</v>
      </c>
      <c r="E730">
        <v>1</v>
      </c>
      <c r="F730">
        <v>27614</v>
      </c>
    </row>
    <row r="731" spans="1:6">
      <c r="A731">
        <v>429000</v>
      </c>
      <c r="B731">
        <v>5</v>
      </c>
      <c r="C731">
        <v>3</v>
      </c>
      <c r="D731">
        <v>2938</v>
      </c>
      <c r="E731">
        <v>4</v>
      </c>
      <c r="F731">
        <v>27613</v>
      </c>
    </row>
    <row r="732" spans="1:6">
      <c r="A732">
        <v>429000</v>
      </c>
      <c r="B732">
        <v>4</v>
      </c>
      <c r="C732">
        <v>3</v>
      </c>
      <c r="D732">
        <v>3373</v>
      </c>
      <c r="E732">
        <v>9</v>
      </c>
      <c r="F732">
        <v>27614</v>
      </c>
    </row>
    <row r="733" spans="1:6">
      <c r="A733">
        <v>429000</v>
      </c>
      <c r="B733">
        <v>4</v>
      </c>
      <c r="C733">
        <v>5</v>
      </c>
      <c r="D733">
        <v>3949</v>
      </c>
      <c r="E733">
        <v>103</v>
      </c>
      <c r="F733">
        <v>27608</v>
      </c>
    </row>
    <row r="734" spans="1:6">
      <c r="A734">
        <v>429900</v>
      </c>
      <c r="B734">
        <v>4</v>
      </c>
      <c r="C734">
        <v>3.5</v>
      </c>
      <c r="D734">
        <v>2985</v>
      </c>
      <c r="E734">
        <v>8</v>
      </c>
      <c r="F734">
        <v>27614</v>
      </c>
    </row>
    <row r="735" spans="1:6">
      <c r="A735">
        <v>434900</v>
      </c>
      <c r="B735">
        <v>4</v>
      </c>
      <c r="C735">
        <v>3</v>
      </c>
      <c r="D735">
        <v>2797</v>
      </c>
      <c r="E735">
        <v>10</v>
      </c>
      <c r="F735">
        <v>27612</v>
      </c>
    </row>
    <row r="736" spans="1:6">
      <c r="A736">
        <v>435900</v>
      </c>
      <c r="B736">
        <v>5</v>
      </c>
      <c r="C736">
        <v>3.5</v>
      </c>
      <c r="D736">
        <v>3240</v>
      </c>
      <c r="E736">
        <v>8</v>
      </c>
      <c r="F736">
        <v>27614</v>
      </c>
    </row>
    <row r="737" spans="1:6">
      <c r="A737">
        <v>439000</v>
      </c>
      <c r="B737">
        <v>4</v>
      </c>
      <c r="C737">
        <v>3</v>
      </c>
      <c r="D737">
        <v>2665</v>
      </c>
      <c r="E737">
        <v>43</v>
      </c>
      <c r="F737">
        <v>27607</v>
      </c>
    </row>
    <row r="738" spans="1:6">
      <c r="A738">
        <v>439000</v>
      </c>
      <c r="B738">
        <v>4</v>
      </c>
      <c r="C738">
        <v>3.5</v>
      </c>
      <c r="D738">
        <v>2891</v>
      </c>
      <c r="E738">
        <v>9</v>
      </c>
      <c r="F738">
        <v>27604</v>
      </c>
    </row>
    <row r="739" spans="1:6">
      <c r="A739">
        <v>439900</v>
      </c>
      <c r="B739">
        <v>5</v>
      </c>
      <c r="C739">
        <v>3</v>
      </c>
      <c r="D739">
        <v>2984</v>
      </c>
      <c r="E739">
        <v>49</v>
      </c>
      <c r="F739">
        <v>27609</v>
      </c>
    </row>
    <row r="740" spans="1:6">
      <c r="A740">
        <v>439900</v>
      </c>
      <c r="B740">
        <v>5</v>
      </c>
      <c r="C740">
        <v>3</v>
      </c>
      <c r="D740">
        <v>3549</v>
      </c>
      <c r="E740">
        <v>8</v>
      </c>
      <c r="F740">
        <v>27604</v>
      </c>
    </row>
    <row r="741" spans="1:6">
      <c r="A741">
        <v>440000</v>
      </c>
      <c r="B741">
        <v>5</v>
      </c>
      <c r="C741">
        <v>4</v>
      </c>
      <c r="D741">
        <v>3350</v>
      </c>
      <c r="E741">
        <v>6</v>
      </c>
      <c r="F741">
        <v>27614</v>
      </c>
    </row>
    <row r="742" spans="1:6">
      <c r="A742">
        <v>444990</v>
      </c>
      <c r="B742">
        <v>4</v>
      </c>
      <c r="C742">
        <v>3.5</v>
      </c>
      <c r="D742">
        <v>2821</v>
      </c>
      <c r="E742">
        <v>0</v>
      </c>
      <c r="F742">
        <v>27612</v>
      </c>
    </row>
    <row r="743" spans="1:6">
      <c r="A743">
        <v>445000</v>
      </c>
      <c r="B743">
        <v>5</v>
      </c>
      <c r="C743">
        <v>4.5</v>
      </c>
      <c r="D743">
        <v>4373</v>
      </c>
      <c r="E743">
        <v>9</v>
      </c>
      <c r="F743">
        <v>27614</v>
      </c>
    </row>
    <row r="744" spans="1:6">
      <c r="A744">
        <v>449000</v>
      </c>
      <c r="B744">
        <v>4</v>
      </c>
      <c r="C744">
        <v>3</v>
      </c>
      <c r="D744">
        <v>3094</v>
      </c>
      <c r="E744">
        <v>9</v>
      </c>
      <c r="F744">
        <v>27613</v>
      </c>
    </row>
    <row r="745" spans="1:6">
      <c r="A745">
        <v>449000</v>
      </c>
      <c r="B745">
        <v>4</v>
      </c>
      <c r="C745">
        <v>3.5</v>
      </c>
      <c r="D745">
        <v>3686</v>
      </c>
      <c r="E745">
        <v>10</v>
      </c>
      <c r="F745">
        <v>27614</v>
      </c>
    </row>
    <row r="746" spans="1:6">
      <c r="A746">
        <v>449000</v>
      </c>
      <c r="B746">
        <v>4</v>
      </c>
      <c r="C746">
        <v>3.5</v>
      </c>
      <c r="D746">
        <v>2500</v>
      </c>
      <c r="E746">
        <v>7</v>
      </c>
      <c r="F746">
        <v>27604</v>
      </c>
    </row>
    <row r="747" spans="1:6">
      <c r="A747">
        <v>449500</v>
      </c>
      <c r="B747">
        <v>4</v>
      </c>
      <c r="C747">
        <v>3.5</v>
      </c>
      <c r="D747">
        <v>3240</v>
      </c>
      <c r="E747">
        <v>43</v>
      </c>
      <c r="F747">
        <v>27615</v>
      </c>
    </row>
    <row r="748" spans="1:6">
      <c r="A748">
        <v>450000</v>
      </c>
      <c r="B748">
        <v>4</v>
      </c>
      <c r="C748">
        <v>3.5</v>
      </c>
      <c r="D748">
        <v>3215</v>
      </c>
      <c r="E748">
        <v>8</v>
      </c>
      <c r="F748">
        <v>27617</v>
      </c>
    </row>
    <row r="749" spans="1:6">
      <c r="A749">
        <v>450000</v>
      </c>
      <c r="B749">
        <v>5</v>
      </c>
      <c r="C749">
        <v>3</v>
      </c>
      <c r="D749">
        <v>3875</v>
      </c>
      <c r="E749">
        <v>16</v>
      </c>
      <c r="F749">
        <v>27614</v>
      </c>
    </row>
    <row r="750" spans="1:6">
      <c r="A750">
        <v>450000</v>
      </c>
      <c r="B750">
        <v>4</v>
      </c>
      <c r="C750">
        <v>3</v>
      </c>
      <c r="D750">
        <v>2350</v>
      </c>
      <c r="E750">
        <v>119</v>
      </c>
      <c r="F750">
        <v>27601</v>
      </c>
    </row>
    <row r="751" spans="1:6">
      <c r="A751">
        <v>450000</v>
      </c>
      <c r="B751">
        <v>4</v>
      </c>
      <c r="C751">
        <v>3.5</v>
      </c>
      <c r="D751">
        <v>2425</v>
      </c>
      <c r="E751">
        <v>73</v>
      </c>
      <c r="F751">
        <v>27608</v>
      </c>
    </row>
    <row r="752" spans="1:6">
      <c r="A752">
        <v>454900</v>
      </c>
      <c r="B752">
        <v>4</v>
      </c>
      <c r="C752">
        <v>4</v>
      </c>
      <c r="D752">
        <v>3689</v>
      </c>
      <c r="E752">
        <v>8</v>
      </c>
      <c r="F752">
        <v>27614</v>
      </c>
    </row>
    <row r="753" spans="1:6">
      <c r="A753">
        <v>459900</v>
      </c>
      <c r="B753">
        <v>4</v>
      </c>
      <c r="C753">
        <v>3</v>
      </c>
      <c r="D753">
        <v>2469</v>
      </c>
      <c r="E753">
        <v>67</v>
      </c>
      <c r="F753">
        <v>27608</v>
      </c>
    </row>
    <row r="754" spans="1:6">
      <c r="A754">
        <v>460000</v>
      </c>
      <c r="B754">
        <v>5</v>
      </c>
      <c r="C754">
        <v>4</v>
      </c>
      <c r="D754">
        <v>4733</v>
      </c>
      <c r="E754">
        <v>13</v>
      </c>
      <c r="F754">
        <v>27614</v>
      </c>
    </row>
    <row r="755" spans="1:6">
      <c r="A755">
        <v>464900</v>
      </c>
      <c r="B755">
        <v>4</v>
      </c>
      <c r="C755">
        <v>3.5</v>
      </c>
      <c r="D755">
        <v>3167</v>
      </c>
      <c r="E755">
        <v>7</v>
      </c>
      <c r="F755">
        <v>27617</v>
      </c>
    </row>
    <row r="756" spans="1:6">
      <c r="A756">
        <v>465000</v>
      </c>
      <c r="B756">
        <v>4</v>
      </c>
      <c r="C756">
        <v>2.5</v>
      </c>
      <c r="D756">
        <v>3512</v>
      </c>
      <c r="E756">
        <v>29</v>
      </c>
      <c r="F756">
        <v>27616</v>
      </c>
    </row>
    <row r="757" spans="1:6">
      <c r="A757">
        <v>466900</v>
      </c>
      <c r="B757">
        <v>3</v>
      </c>
      <c r="C757">
        <v>2.5</v>
      </c>
      <c r="D757">
        <v>4864</v>
      </c>
      <c r="E757">
        <v>8</v>
      </c>
      <c r="F757">
        <v>27613</v>
      </c>
    </row>
    <row r="758" spans="1:6">
      <c r="A758">
        <v>468000</v>
      </c>
      <c r="B758">
        <v>4</v>
      </c>
      <c r="C758">
        <v>3</v>
      </c>
      <c r="D758">
        <v>3015</v>
      </c>
      <c r="E758">
        <v>0</v>
      </c>
      <c r="F758">
        <v>27607</v>
      </c>
    </row>
    <row r="759" spans="1:6">
      <c r="A759">
        <v>469900</v>
      </c>
      <c r="B759">
        <v>3</v>
      </c>
      <c r="C759">
        <v>2.5</v>
      </c>
      <c r="D759">
        <v>2131</v>
      </c>
      <c r="E759">
        <v>11</v>
      </c>
      <c r="F759">
        <v>27608</v>
      </c>
    </row>
    <row r="760" spans="1:6">
      <c r="A760">
        <v>470000</v>
      </c>
      <c r="B760">
        <v>4</v>
      </c>
      <c r="C760">
        <v>3</v>
      </c>
      <c r="D760">
        <v>3600</v>
      </c>
      <c r="E760">
        <v>37</v>
      </c>
      <c r="F760">
        <v>27615</v>
      </c>
    </row>
    <row r="761" spans="1:6">
      <c r="A761">
        <v>474500</v>
      </c>
      <c r="B761">
        <v>3</v>
      </c>
      <c r="C761">
        <v>2</v>
      </c>
      <c r="D761">
        <v>2731</v>
      </c>
      <c r="E761">
        <v>59</v>
      </c>
      <c r="F761">
        <v>27609</v>
      </c>
    </row>
    <row r="762" spans="1:6">
      <c r="A762">
        <v>474900</v>
      </c>
      <c r="B762">
        <v>4</v>
      </c>
      <c r="C762">
        <v>2.5</v>
      </c>
      <c r="D762">
        <v>2287</v>
      </c>
      <c r="E762">
        <v>76</v>
      </c>
      <c r="F762">
        <v>27610</v>
      </c>
    </row>
    <row r="763" spans="1:6">
      <c r="A763">
        <v>474900</v>
      </c>
      <c r="B763">
        <v>4</v>
      </c>
      <c r="C763">
        <v>3.5</v>
      </c>
      <c r="D763">
        <v>3232</v>
      </c>
      <c r="E763">
        <v>9</v>
      </c>
      <c r="F763">
        <v>27614</v>
      </c>
    </row>
    <row r="764" spans="1:6">
      <c r="A764">
        <v>475000</v>
      </c>
      <c r="B764">
        <v>5</v>
      </c>
      <c r="C764">
        <v>3.5</v>
      </c>
      <c r="D764">
        <v>3332</v>
      </c>
      <c r="E764">
        <v>48</v>
      </c>
      <c r="F764">
        <v>27609</v>
      </c>
    </row>
    <row r="765" spans="1:6">
      <c r="A765">
        <v>475000</v>
      </c>
      <c r="B765">
        <v>6</v>
      </c>
      <c r="C765">
        <v>5</v>
      </c>
      <c r="D765">
        <v>4182</v>
      </c>
      <c r="E765">
        <v>9</v>
      </c>
      <c r="F765">
        <v>27614</v>
      </c>
    </row>
    <row r="766" spans="1:6">
      <c r="A766">
        <v>475000</v>
      </c>
      <c r="B766">
        <v>5</v>
      </c>
      <c r="C766">
        <v>5</v>
      </c>
      <c r="D766">
        <v>3865</v>
      </c>
      <c r="E766">
        <v>7</v>
      </c>
      <c r="F766">
        <v>27614</v>
      </c>
    </row>
    <row r="767" spans="1:6">
      <c r="A767">
        <v>479900</v>
      </c>
      <c r="B767">
        <v>5</v>
      </c>
      <c r="C767">
        <v>4.5</v>
      </c>
      <c r="D767">
        <v>3325</v>
      </c>
      <c r="E767">
        <v>0</v>
      </c>
      <c r="F767">
        <v>27614</v>
      </c>
    </row>
    <row r="768" spans="1:6">
      <c r="A768">
        <v>484900</v>
      </c>
      <c r="B768">
        <v>4</v>
      </c>
      <c r="C768">
        <v>2.5</v>
      </c>
      <c r="D768">
        <v>2057</v>
      </c>
      <c r="E768">
        <v>84</v>
      </c>
      <c r="F768">
        <v>27608</v>
      </c>
    </row>
    <row r="769" spans="1:6">
      <c r="A769">
        <v>485000</v>
      </c>
      <c r="B769">
        <v>3</v>
      </c>
      <c r="C769">
        <v>2.5</v>
      </c>
      <c r="D769">
        <v>2136</v>
      </c>
      <c r="E769">
        <v>24</v>
      </c>
      <c r="F769">
        <v>27608</v>
      </c>
    </row>
    <row r="770" spans="1:6">
      <c r="A770">
        <v>485000</v>
      </c>
      <c r="B770">
        <v>4</v>
      </c>
      <c r="C770">
        <v>3.5</v>
      </c>
      <c r="D770">
        <v>3294</v>
      </c>
      <c r="E770">
        <v>20</v>
      </c>
      <c r="F770">
        <v>27615</v>
      </c>
    </row>
    <row r="771" spans="1:6">
      <c r="A771">
        <v>489000</v>
      </c>
      <c r="B771">
        <v>4</v>
      </c>
      <c r="C771">
        <v>5</v>
      </c>
      <c r="D771">
        <v>3840</v>
      </c>
      <c r="E771">
        <v>1</v>
      </c>
      <c r="F771">
        <v>27613</v>
      </c>
    </row>
    <row r="772" spans="1:6">
      <c r="A772">
        <v>489900</v>
      </c>
      <c r="B772">
        <v>5</v>
      </c>
      <c r="C772">
        <v>3.5</v>
      </c>
      <c r="D772">
        <v>3710</v>
      </c>
      <c r="E772">
        <v>7</v>
      </c>
      <c r="F772">
        <v>27613</v>
      </c>
    </row>
    <row r="773" spans="1:6">
      <c r="A773">
        <v>489900</v>
      </c>
      <c r="B773">
        <v>4</v>
      </c>
      <c r="C773">
        <v>2.5</v>
      </c>
      <c r="D773">
        <v>3407</v>
      </c>
      <c r="E773">
        <v>12</v>
      </c>
      <c r="F773">
        <v>27617</v>
      </c>
    </row>
    <row r="774" spans="1:6">
      <c r="A774">
        <v>489900</v>
      </c>
      <c r="B774">
        <v>3</v>
      </c>
      <c r="C774">
        <v>3</v>
      </c>
      <c r="D774">
        <v>2650</v>
      </c>
      <c r="E774">
        <v>87</v>
      </c>
      <c r="F774">
        <v>27608</v>
      </c>
    </row>
    <row r="775" spans="1:6">
      <c r="A775">
        <v>489900</v>
      </c>
      <c r="B775">
        <v>5</v>
      </c>
      <c r="C775">
        <v>4</v>
      </c>
      <c r="D775">
        <v>4119</v>
      </c>
      <c r="E775">
        <v>1</v>
      </c>
      <c r="F775">
        <v>27614</v>
      </c>
    </row>
    <row r="776" spans="1:6">
      <c r="A776">
        <v>489900</v>
      </c>
      <c r="B776">
        <v>3</v>
      </c>
      <c r="C776">
        <v>5</v>
      </c>
      <c r="D776">
        <v>4040</v>
      </c>
      <c r="E776">
        <v>31</v>
      </c>
      <c r="F776">
        <v>27615</v>
      </c>
    </row>
    <row r="777" spans="1:6">
      <c r="A777">
        <v>493000</v>
      </c>
      <c r="B777">
        <v>3</v>
      </c>
      <c r="C777">
        <v>2</v>
      </c>
      <c r="D777">
        <v>2000</v>
      </c>
      <c r="E777">
        <v>38</v>
      </c>
      <c r="F777">
        <v>27609</v>
      </c>
    </row>
    <row r="778" spans="1:6">
      <c r="A778">
        <v>495000</v>
      </c>
      <c r="B778">
        <v>4</v>
      </c>
      <c r="C778">
        <v>3</v>
      </c>
      <c r="D778">
        <v>2438</v>
      </c>
      <c r="E778">
        <v>55</v>
      </c>
      <c r="F778">
        <v>27609</v>
      </c>
    </row>
    <row r="779" spans="1:6">
      <c r="A779">
        <v>495000</v>
      </c>
      <c r="B779">
        <v>3</v>
      </c>
      <c r="C779">
        <v>2</v>
      </c>
      <c r="D779">
        <v>1427</v>
      </c>
      <c r="E779">
        <v>67</v>
      </c>
      <c r="F779">
        <v>27607</v>
      </c>
    </row>
    <row r="780" spans="1:6">
      <c r="A780">
        <v>497900</v>
      </c>
      <c r="B780">
        <v>5</v>
      </c>
      <c r="C780">
        <v>4</v>
      </c>
      <c r="D780">
        <v>3275</v>
      </c>
      <c r="E780">
        <v>0</v>
      </c>
      <c r="F780">
        <v>27614</v>
      </c>
    </row>
    <row r="781" spans="1:6">
      <c r="A781">
        <v>499000</v>
      </c>
      <c r="B781">
        <v>4</v>
      </c>
      <c r="C781">
        <v>3.5</v>
      </c>
      <c r="D781">
        <v>3788</v>
      </c>
      <c r="E781">
        <v>19</v>
      </c>
      <c r="F781">
        <v>27610</v>
      </c>
    </row>
    <row r="782" spans="1:6">
      <c r="A782">
        <v>499000</v>
      </c>
      <c r="B782">
        <v>5</v>
      </c>
      <c r="C782">
        <v>4.5</v>
      </c>
      <c r="D782">
        <v>3933</v>
      </c>
      <c r="E782">
        <v>4</v>
      </c>
      <c r="F782">
        <v>27613</v>
      </c>
    </row>
    <row r="783" spans="1:6">
      <c r="A783">
        <v>499000</v>
      </c>
      <c r="B783">
        <v>4</v>
      </c>
      <c r="C783">
        <v>3.5</v>
      </c>
      <c r="D783">
        <v>3352</v>
      </c>
      <c r="E783">
        <v>7</v>
      </c>
      <c r="F783">
        <v>27606</v>
      </c>
    </row>
    <row r="784" spans="1:6">
      <c r="A784">
        <v>499000</v>
      </c>
      <c r="B784">
        <v>5</v>
      </c>
      <c r="C784">
        <v>4</v>
      </c>
      <c r="D784">
        <v>4828</v>
      </c>
      <c r="E784">
        <v>9</v>
      </c>
      <c r="F784">
        <v>27614</v>
      </c>
    </row>
    <row r="785" spans="1:6">
      <c r="A785">
        <v>499000</v>
      </c>
      <c r="B785">
        <v>5</v>
      </c>
      <c r="C785">
        <v>4</v>
      </c>
      <c r="D785">
        <v>4127</v>
      </c>
      <c r="E785">
        <v>8</v>
      </c>
      <c r="F785">
        <v>27614</v>
      </c>
    </row>
    <row r="786" spans="1:6">
      <c r="A786">
        <v>499900</v>
      </c>
      <c r="B786">
        <v>5</v>
      </c>
      <c r="C786">
        <v>4</v>
      </c>
      <c r="D786">
        <v>4003</v>
      </c>
      <c r="E786">
        <v>5</v>
      </c>
      <c r="F786">
        <v>27612</v>
      </c>
    </row>
    <row r="787" spans="1:6">
      <c r="A787">
        <v>499900</v>
      </c>
      <c r="B787">
        <v>4</v>
      </c>
      <c r="C787">
        <v>3.5</v>
      </c>
      <c r="D787">
        <v>3400</v>
      </c>
      <c r="E787">
        <v>1</v>
      </c>
      <c r="F787">
        <v>27612</v>
      </c>
    </row>
    <row r="788" spans="1:6">
      <c r="A788">
        <v>499900</v>
      </c>
      <c r="B788">
        <v>5</v>
      </c>
      <c r="C788">
        <v>4</v>
      </c>
      <c r="D788">
        <v>3860</v>
      </c>
      <c r="E788">
        <v>10</v>
      </c>
      <c r="F788">
        <v>27614</v>
      </c>
    </row>
    <row r="789" spans="1:6">
      <c r="A789">
        <v>499900</v>
      </c>
      <c r="B789">
        <v>5</v>
      </c>
      <c r="C789">
        <v>4.5</v>
      </c>
      <c r="D789">
        <v>5025</v>
      </c>
      <c r="E789">
        <v>7</v>
      </c>
      <c r="F789">
        <v>27614</v>
      </c>
    </row>
    <row r="790" spans="1:6">
      <c r="A790">
        <v>499900</v>
      </c>
      <c r="B790">
        <v>4</v>
      </c>
      <c r="C790">
        <v>3</v>
      </c>
      <c r="D790">
        <v>2178</v>
      </c>
      <c r="E790">
        <v>34</v>
      </c>
      <c r="F790">
        <v>27608</v>
      </c>
    </row>
    <row r="791" spans="1:6">
      <c r="A791">
        <v>500000</v>
      </c>
      <c r="B791">
        <v>5</v>
      </c>
      <c r="C791">
        <v>3</v>
      </c>
      <c r="D791">
        <v>3520</v>
      </c>
      <c r="E791">
        <v>40</v>
      </c>
      <c r="F791">
        <v>27615</v>
      </c>
    </row>
    <row r="792" spans="1:6">
      <c r="A792">
        <v>500000</v>
      </c>
      <c r="B792">
        <v>4</v>
      </c>
      <c r="C792">
        <v>3</v>
      </c>
      <c r="D792">
        <v>2438</v>
      </c>
      <c r="E792">
        <v>42</v>
      </c>
      <c r="F792">
        <v>27612</v>
      </c>
    </row>
    <row r="793" spans="1:6">
      <c r="A793">
        <v>500000</v>
      </c>
      <c r="B793">
        <v>4</v>
      </c>
      <c r="C793">
        <v>3</v>
      </c>
      <c r="D793">
        <v>3211</v>
      </c>
      <c r="E793">
        <v>10</v>
      </c>
      <c r="F793">
        <v>27614</v>
      </c>
    </row>
    <row r="794" spans="1:6">
      <c r="A794">
        <v>510000</v>
      </c>
      <c r="B794">
        <v>4</v>
      </c>
      <c r="C794">
        <v>4</v>
      </c>
      <c r="D794">
        <v>3177</v>
      </c>
      <c r="E794">
        <v>32</v>
      </c>
      <c r="F794">
        <v>27609</v>
      </c>
    </row>
    <row r="795" spans="1:6">
      <c r="A795">
        <v>514000</v>
      </c>
      <c r="B795">
        <v>4</v>
      </c>
      <c r="C795">
        <v>3.5</v>
      </c>
      <c r="D795">
        <v>3134</v>
      </c>
      <c r="E795">
        <v>18</v>
      </c>
      <c r="F795">
        <v>27615</v>
      </c>
    </row>
    <row r="796" spans="1:6">
      <c r="A796">
        <v>514900</v>
      </c>
      <c r="B796">
        <v>3</v>
      </c>
      <c r="C796">
        <v>3</v>
      </c>
      <c r="D796">
        <v>2750</v>
      </c>
      <c r="E796">
        <v>0</v>
      </c>
      <c r="F796">
        <v>27614</v>
      </c>
    </row>
    <row r="797" spans="1:6">
      <c r="A797">
        <v>515000</v>
      </c>
      <c r="B797">
        <v>5</v>
      </c>
      <c r="C797">
        <v>3.5</v>
      </c>
      <c r="D797">
        <v>4766</v>
      </c>
      <c r="E797">
        <v>12</v>
      </c>
      <c r="F797">
        <v>27614</v>
      </c>
    </row>
    <row r="798" spans="1:6">
      <c r="A798">
        <v>518000</v>
      </c>
      <c r="B798">
        <v>4</v>
      </c>
      <c r="C798">
        <v>4</v>
      </c>
      <c r="D798">
        <v>3328</v>
      </c>
      <c r="E798">
        <v>7</v>
      </c>
      <c r="F798">
        <v>27607</v>
      </c>
    </row>
    <row r="799" spans="1:6">
      <c r="A799">
        <v>519000</v>
      </c>
      <c r="B799">
        <v>4</v>
      </c>
      <c r="C799">
        <v>3.5</v>
      </c>
      <c r="D799">
        <v>4048</v>
      </c>
      <c r="E799">
        <v>8</v>
      </c>
      <c r="F799">
        <v>27614</v>
      </c>
    </row>
    <row r="800" spans="1:6">
      <c r="A800">
        <v>519900</v>
      </c>
      <c r="B800">
        <v>4</v>
      </c>
      <c r="C800">
        <v>3.5</v>
      </c>
      <c r="D800">
        <v>3006</v>
      </c>
      <c r="E800">
        <v>8</v>
      </c>
      <c r="F800">
        <v>27612</v>
      </c>
    </row>
    <row r="801" spans="1:6">
      <c r="A801">
        <v>519900</v>
      </c>
      <c r="B801">
        <v>5</v>
      </c>
      <c r="C801">
        <v>5</v>
      </c>
      <c r="D801">
        <v>4175</v>
      </c>
      <c r="E801">
        <v>1</v>
      </c>
      <c r="F801">
        <v>27614</v>
      </c>
    </row>
    <row r="802" spans="1:6">
      <c r="A802">
        <v>520000</v>
      </c>
      <c r="B802">
        <v>5</v>
      </c>
      <c r="C802">
        <v>5.5</v>
      </c>
      <c r="D802">
        <v>4238</v>
      </c>
      <c r="E802">
        <v>8</v>
      </c>
      <c r="F802">
        <v>27614</v>
      </c>
    </row>
    <row r="803" spans="1:6">
      <c r="A803">
        <v>523000</v>
      </c>
      <c r="B803">
        <v>4</v>
      </c>
      <c r="C803">
        <v>4.5</v>
      </c>
      <c r="D803">
        <v>3317</v>
      </c>
      <c r="E803">
        <v>15</v>
      </c>
      <c r="F803">
        <v>27615</v>
      </c>
    </row>
    <row r="804" spans="1:6">
      <c r="A804">
        <v>525000</v>
      </c>
      <c r="B804">
        <v>5</v>
      </c>
      <c r="C804">
        <v>4</v>
      </c>
      <c r="D804">
        <v>5235</v>
      </c>
      <c r="E804">
        <v>38</v>
      </c>
      <c r="F804">
        <v>27604</v>
      </c>
    </row>
    <row r="805" spans="1:6">
      <c r="A805">
        <v>525000</v>
      </c>
      <c r="B805">
        <v>4</v>
      </c>
      <c r="C805">
        <v>3</v>
      </c>
      <c r="D805">
        <v>2681</v>
      </c>
      <c r="E805">
        <v>49</v>
      </c>
      <c r="F805">
        <v>27609</v>
      </c>
    </row>
    <row r="806" spans="1:6">
      <c r="A806">
        <v>525000</v>
      </c>
      <c r="B806">
        <v>5</v>
      </c>
      <c r="C806">
        <v>3.5</v>
      </c>
      <c r="D806">
        <v>3279</v>
      </c>
      <c r="E806">
        <v>0</v>
      </c>
      <c r="F806">
        <v>27614</v>
      </c>
    </row>
    <row r="807" spans="1:6">
      <c r="A807">
        <v>529000</v>
      </c>
      <c r="B807">
        <v>3</v>
      </c>
      <c r="C807">
        <v>3.5</v>
      </c>
      <c r="D807">
        <v>3074</v>
      </c>
      <c r="E807">
        <v>15</v>
      </c>
      <c r="F807">
        <v>27615</v>
      </c>
    </row>
    <row r="808" spans="1:6">
      <c r="A808">
        <v>529000</v>
      </c>
      <c r="B808">
        <v>4</v>
      </c>
      <c r="C808">
        <v>2.5</v>
      </c>
      <c r="D808">
        <v>3329</v>
      </c>
      <c r="E808">
        <v>51</v>
      </c>
      <c r="F808">
        <v>27609</v>
      </c>
    </row>
    <row r="809" spans="1:6">
      <c r="A809">
        <v>529900</v>
      </c>
      <c r="B809">
        <v>4</v>
      </c>
      <c r="C809">
        <v>2.5</v>
      </c>
      <c r="D809">
        <v>2743</v>
      </c>
      <c r="E809">
        <v>15</v>
      </c>
      <c r="F809">
        <v>27607</v>
      </c>
    </row>
    <row r="810" spans="1:6">
      <c r="A810">
        <v>529990</v>
      </c>
      <c r="B810">
        <v>4</v>
      </c>
      <c r="C810">
        <v>3.5</v>
      </c>
      <c r="D810">
        <v>3783</v>
      </c>
      <c r="E810">
        <v>1</v>
      </c>
      <c r="F810">
        <v>27607</v>
      </c>
    </row>
    <row r="811" spans="1:6">
      <c r="A811">
        <v>535000</v>
      </c>
      <c r="B811">
        <v>4</v>
      </c>
      <c r="C811">
        <v>3.5</v>
      </c>
      <c r="D811">
        <v>2812</v>
      </c>
      <c r="E811">
        <v>1</v>
      </c>
      <c r="F811">
        <v>27609</v>
      </c>
    </row>
    <row r="812" spans="1:6">
      <c r="A812">
        <v>535000</v>
      </c>
      <c r="B812">
        <v>4</v>
      </c>
      <c r="C812">
        <v>3.5</v>
      </c>
      <c r="D812">
        <v>3250</v>
      </c>
      <c r="E812">
        <v>0</v>
      </c>
      <c r="F812">
        <v>27614</v>
      </c>
    </row>
    <row r="813" spans="1:6">
      <c r="A813">
        <v>535000</v>
      </c>
      <c r="B813">
        <v>4</v>
      </c>
      <c r="C813">
        <v>3.5</v>
      </c>
      <c r="D813">
        <v>3407</v>
      </c>
      <c r="E813">
        <v>9</v>
      </c>
      <c r="F813">
        <v>27614</v>
      </c>
    </row>
    <row r="814" spans="1:6">
      <c r="A814">
        <v>539000</v>
      </c>
      <c r="B814">
        <v>4</v>
      </c>
      <c r="C814">
        <v>3.5</v>
      </c>
      <c r="D814">
        <v>4261</v>
      </c>
      <c r="E814">
        <v>10</v>
      </c>
      <c r="F814">
        <v>27617</v>
      </c>
    </row>
    <row r="815" spans="1:6">
      <c r="A815">
        <v>539000</v>
      </c>
      <c r="B815">
        <v>5</v>
      </c>
      <c r="C815">
        <v>4</v>
      </c>
      <c r="D815">
        <v>3571</v>
      </c>
      <c r="E815">
        <v>7</v>
      </c>
      <c r="F815">
        <v>27614</v>
      </c>
    </row>
    <row r="816" spans="1:6">
      <c r="A816">
        <v>539900</v>
      </c>
      <c r="B816">
        <v>6</v>
      </c>
      <c r="C816">
        <v>5</v>
      </c>
      <c r="D816">
        <v>5338</v>
      </c>
      <c r="E816">
        <v>10</v>
      </c>
      <c r="F816">
        <v>27614</v>
      </c>
    </row>
    <row r="817" spans="1:6">
      <c r="A817">
        <v>540000</v>
      </c>
      <c r="B817">
        <v>3</v>
      </c>
      <c r="C817">
        <v>2.5</v>
      </c>
      <c r="D817">
        <v>2916</v>
      </c>
      <c r="E817">
        <v>7</v>
      </c>
      <c r="F817">
        <v>27607</v>
      </c>
    </row>
    <row r="818" spans="1:6">
      <c r="A818">
        <v>540000</v>
      </c>
      <c r="B818">
        <v>4</v>
      </c>
      <c r="C818">
        <v>3</v>
      </c>
      <c r="D818">
        <v>3200</v>
      </c>
      <c r="E818">
        <v>0</v>
      </c>
      <c r="F818">
        <v>27614</v>
      </c>
    </row>
    <row r="819" spans="1:6">
      <c r="A819">
        <v>544900</v>
      </c>
      <c r="B819">
        <v>5</v>
      </c>
      <c r="C819">
        <v>4.5</v>
      </c>
      <c r="D819">
        <v>4736</v>
      </c>
      <c r="E819">
        <v>9</v>
      </c>
      <c r="F819">
        <v>27615</v>
      </c>
    </row>
    <row r="820" spans="1:6">
      <c r="A820">
        <v>549900</v>
      </c>
      <c r="B820">
        <v>4</v>
      </c>
      <c r="C820">
        <v>4</v>
      </c>
      <c r="D820">
        <v>3590</v>
      </c>
      <c r="E820">
        <v>7</v>
      </c>
      <c r="F820">
        <v>27612</v>
      </c>
    </row>
    <row r="821" spans="1:6">
      <c r="A821">
        <v>549900</v>
      </c>
      <c r="B821">
        <v>4</v>
      </c>
      <c r="C821">
        <v>5</v>
      </c>
      <c r="D821">
        <v>5105</v>
      </c>
      <c r="E821">
        <v>8</v>
      </c>
      <c r="F821">
        <v>27616</v>
      </c>
    </row>
    <row r="822" spans="1:6">
      <c r="A822">
        <v>549900</v>
      </c>
      <c r="B822">
        <v>4</v>
      </c>
      <c r="C822">
        <v>3.5</v>
      </c>
      <c r="D822">
        <v>3584</v>
      </c>
      <c r="E822">
        <v>4</v>
      </c>
      <c r="F822">
        <v>27609</v>
      </c>
    </row>
    <row r="823" spans="1:6">
      <c r="A823">
        <v>549900</v>
      </c>
      <c r="B823">
        <v>3</v>
      </c>
      <c r="C823">
        <v>3</v>
      </c>
      <c r="D823">
        <v>2566</v>
      </c>
      <c r="E823">
        <v>91</v>
      </c>
      <c r="F823">
        <v>27605</v>
      </c>
    </row>
    <row r="824" spans="1:6">
      <c r="A824">
        <v>549990</v>
      </c>
      <c r="B824">
        <v>4</v>
      </c>
      <c r="C824">
        <v>4</v>
      </c>
      <c r="D824">
        <v>4266</v>
      </c>
      <c r="E824">
        <v>1</v>
      </c>
      <c r="F824">
        <v>27607</v>
      </c>
    </row>
    <row r="825" spans="1:6">
      <c r="A825">
        <v>559900</v>
      </c>
      <c r="B825">
        <v>6</v>
      </c>
      <c r="C825">
        <v>3</v>
      </c>
      <c r="D825">
        <v>3305</v>
      </c>
      <c r="E825">
        <v>86</v>
      </c>
      <c r="F825">
        <v>27608</v>
      </c>
    </row>
    <row r="826" spans="1:6">
      <c r="A826">
        <v>559900</v>
      </c>
      <c r="B826">
        <v>4</v>
      </c>
      <c r="C826">
        <v>2.5</v>
      </c>
      <c r="D826">
        <v>3205</v>
      </c>
      <c r="E826">
        <v>55</v>
      </c>
      <c r="F826">
        <v>27609</v>
      </c>
    </row>
    <row r="827" spans="1:6">
      <c r="A827">
        <v>562500</v>
      </c>
      <c r="B827">
        <v>4</v>
      </c>
      <c r="C827">
        <v>3.5</v>
      </c>
      <c r="D827">
        <v>3828</v>
      </c>
      <c r="E827">
        <v>23</v>
      </c>
      <c r="F827">
        <v>27615</v>
      </c>
    </row>
    <row r="828" spans="1:6">
      <c r="A828">
        <v>564900</v>
      </c>
      <c r="B828">
        <v>5</v>
      </c>
      <c r="C828">
        <v>4.5</v>
      </c>
      <c r="D828">
        <v>3983</v>
      </c>
      <c r="E828">
        <v>8</v>
      </c>
      <c r="F828">
        <v>27612</v>
      </c>
    </row>
    <row r="829" spans="1:6">
      <c r="A829">
        <v>565000</v>
      </c>
      <c r="B829">
        <v>5</v>
      </c>
      <c r="C829">
        <v>3.5</v>
      </c>
      <c r="D829">
        <v>3762</v>
      </c>
      <c r="E829">
        <v>13</v>
      </c>
      <c r="F829">
        <v>27617</v>
      </c>
    </row>
    <row r="830" spans="1:6">
      <c r="A830">
        <v>569000</v>
      </c>
      <c r="B830">
        <v>5</v>
      </c>
      <c r="C830">
        <v>3.5</v>
      </c>
      <c r="D830">
        <v>3381</v>
      </c>
      <c r="E830">
        <v>1</v>
      </c>
      <c r="F830">
        <v>27609</v>
      </c>
    </row>
    <row r="831" spans="1:6">
      <c r="A831">
        <v>570000</v>
      </c>
      <c r="B831">
        <v>4</v>
      </c>
      <c r="C831">
        <v>3.5</v>
      </c>
      <c r="D831">
        <v>2211</v>
      </c>
      <c r="E831">
        <v>33</v>
      </c>
      <c r="F831">
        <v>27608</v>
      </c>
    </row>
    <row r="832" spans="1:6">
      <c r="A832">
        <v>572900</v>
      </c>
      <c r="B832">
        <v>5</v>
      </c>
      <c r="C832">
        <v>3.5</v>
      </c>
      <c r="D832">
        <v>4365</v>
      </c>
      <c r="E832">
        <v>48</v>
      </c>
      <c r="F832">
        <v>27609</v>
      </c>
    </row>
    <row r="833" spans="1:6">
      <c r="A833">
        <v>574900</v>
      </c>
      <c r="B833">
        <v>6</v>
      </c>
      <c r="C833">
        <v>5</v>
      </c>
      <c r="D833">
        <v>5355</v>
      </c>
      <c r="E833">
        <v>11</v>
      </c>
      <c r="F833">
        <v>27614</v>
      </c>
    </row>
    <row r="834" spans="1:6">
      <c r="A834">
        <v>575000</v>
      </c>
      <c r="B834">
        <v>5</v>
      </c>
      <c r="C834">
        <v>4</v>
      </c>
      <c r="D834">
        <v>3305</v>
      </c>
      <c r="E834">
        <v>9</v>
      </c>
      <c r="F834">
        <v>27612</v>
      </c>
    </row>
    <row r="835" spans="1:6">
      <c r="A835">
        <v>575000</v>
      </c>
      <c r="B835">
        <v>4</v>
      </c>
      <c r="C835">
        <v>3.5</v>
      </c>
      <c r="D835">
        <v>3750</v>
      </c>
      <c r="E835">
        <v>1</v>
      </c>
      <c r="F835">
        <v>27613</v>
      </c>
    </row>
    <row r="836" spans="1:6">
      <c r="A836">
        <v>575000</v>
      </c>
      <c r="B836">
        <v>4</v>
      </c>
      <c r="C836">
        <v>3</v>
      </c>
      <c r="D836">
        <v>3374</v>
      </c>
      <c r="E836">
        <v>83</v>
      </c>
      <c r="F836">
        <v>27608</v>
      </c>
    </row>
    <row r="837" spans="1:6">
      <c r="A837">
        <v>575000</v>
      </c>
      <c r="B837">
        <v>3</v>
      </c>
      <c r="C837">
        <v>3</v>
      </c>
      <c r="D837">
        <v>2603</v>
      </c>
      <c r="E837">
        <v>37</v>
      </c>
      <c r="F837">
        <v>27609</v>
      </c>
    </row>
    <row r="838" spans="1:6">
      <c r="A838">
        <v>575000</v>
      </c>
      <c r="B838">
        <v>5</v>
      </c>
      <c r="C838">
        <v>6</v>
      </c>
      <c r="D838">
        <v>6428</v>
      </c>
      <c r="E838">
        <v>7</v>
      </c>
      <c r="F838">
        <v>27614</v>
      </c>
    </row>
    <row r="839" spans="1:6">
      <c r="A839">
        <v>579900</v>
      </c>
      <c r="B839">
        <v>5</v>
      </c>
      <c r="C839">
        <v>4</v>
      </c>
      <c r="D839">
        <v>4400</v>
      </c>
      <c r="E839">
        <v>1</v>
      </c>
      <c r="F839">
        <v>27614</v>
      </c>
    </row>
    <row r="840" spans="1:6">
      <c r="A840">
        <v>579995</v>
      </c>
      <c r="B840">
        <v>3</v>
      </c>
      <c r="C840">
        <v>3</v>
      </c>
      <c r="D840">
        <v>2616</v>
      </c>
      <c r="E840">
        <v>1</v>
      </c>
      <c r="F840">
        <v>27617</v>
      </c>
    </row>
    <row r="841" spans="1:6">
      <c r="A841">
        <v>589900</v>
      </c>
      <c r="B841">
        <v>4</v>
      </c>
      <c r="C841">
        <v>3.5</v>
      </c>
      <c r="D841">
        <v>3400</v>
      </c>
      <c r="E841">
        <v>0</v>
      </c>
      <c r="F841">
        <v>27612</v>
      </c>
    </row>
    <row r="842" spans="1:6">
      <c r="A842">
        <v>592900</v>
      </c>
      <c r="B842">
        <v>4</v>
      </c>
      <c r="C842">
        <v>4</v>
      </c>
      <c r="D842">
        <v>3630</v>
      </c>
      <c r="E842">
        <v>0</v>
      </c>
      <c r="F842">
        <v>27614</v>
      </c>
    </row>
    <row r="843" spans="1:6">
      <c r="A843">
        <v>593000</v>
      </c>
      <c r="B843">
        <v>4</v>
      </c>
      <c r="C843">
        <v>3.5</v>
      </c>
      <c r="D843">
        <v>4950</v>
      </c>
      <c r="E843">
        <v>21</v>
      </c>
      <c r="F843">
        <v>27615</v>
      </c>
    </row>
    <row r="844" spans="1:6">
      <c r="A844">
        <v>594870</v>
      </c>
      <c r="B844">
        <v>4</v>
      </c>
      <c r="C844">
        <v>3.5</v>
      </c>
      <c r="D844">
        <v>3600</v>
      </c>
      <c r="E844">
        <v>0</v>
      </c>
      <c r="F844">
        <v>27612</v>
      </c>
    </row>
    <row r="845" spans="1:6">
      <c r="A845">
        <v>594900</v>
      </c>
      <c r="B845">
        <v>5</v>
      </c>
      <c r="C845">
        <v>4</v>
      </c>
      <c r="D845">
        <v>3379</v>
      </c>
      <c r="E845">
        <v>0</v>
      </c>
      <c r="F845">
        <v>27612</v>
      </c>
    </row>
    <row r="846" spans="1:6">
      <c r="A846">
        <v>595000</v>
      </c>
      <c r="B846">
        <v>5</v>
      </c>
      <c r="C846">
        <v>3.5</v>
      </c>
      <c r="D846">
        <v>2936</v>
      </c>
      <c r="E846">
        <v>46</v>
      </c>
      <c r="F846">
        <v>27609</v>
      </c>
    </row>
    <row r="847" spans="1:6">
      <c r="A847">
        <v>595000</v>
      </c>
      <c r="B847">
        <v>4</v>
      </c>
      <c r="C847">
        <v>2.5</v>
      </c>
      <c r="D847">
        <v>2902</v>
      </c>
      <c r="E847">
        <v>37</v>
      </c>
      <c r="F847">
        <v>27612</v>
      </c>
    </row>
    <row r="848" spans="1:6">
      <c r="A848">
        <v>599000</v>
      </c>
      <c r="B848">
        <v>5</v>
      </c>
      <c r="C848">
        <v>4.5</v>
      </c>
      <c r="D848">
        <v>4090</v>
      </c>
      <c r="E848">
        <v>47</v>
      </c>
      <c r="F848">
        <v>27609</v>
      </c>
    </row>
    <row r="849" spans="1:6">
      <c r="A849">
        <v>599900</v>
      </c>
      <c r="B849">
        <v>4</v>
      </c>
      <c r="C849">
        <v>3.5</v>
      </c>
      <c r="D849">
        <v>3610</v>
      </c>
      <c r="E849">
        <v>24</v>
      </c>
      <c r="F849">
        <v>27612</v>
      </c>
    </row>
    <row r="850" spans="1:6">
      <c r="A850">
        <v>599900</v>
      </c>
      <c r="B850">
        <v>5</v>
      </c>
      <c r="C850">
        <v>3.5</v>
      </c>
      <c r="D850">
        <v>3975</v>
      </c>
      <c r="E850">
        <v>0</v>
      </c>
      <c r="F850">
        <v>27609</v>
      </c>
    </row>
    <row r="851" spans="1:6">
      <c r="A851">
        <v>599900</v>
      </c>
      <c r="B851">
        <v>4</v>
      </c>
      <c r="C851">
        <v>5</v>
      </c>
      <c r="D851">
        <v>4812</v>
      </c>
      <c r="E851">
        <v>1</v>
      </c>
      <c r="F851">
        <v>27613</v>
      </c>
    </row>
    <row r="852" spans="1:6">
      <c r="A852">
        <v>599900</v>
      </c>
      <c r="B852">
        <v>5</v>
      </c>
      <c r="C852">
        <v>4</v>
      </c>
      <c r="D852">
        <v>6172</v>
      </c>
      <c r="E852">
        <v>50</v>
      </c>
      <c r="F852">
        <v>27607</v>
      </c>
    </row>
    <row r="853" spans="1:6">
      <c r="A853">
        <v>599900</v>
      </c>
      <c r="B853">
        <v>4</v>
      </c>
      <c r="C853">
        <v>3.5</v>
      </c>
      <c r="D853">
        <v>3145</v>
      </c>
      <c r="E853">
        <v>0</v>
      </c>
      <c r="F853">
        <v>27607</v>
      </c>
    </row>
    <row r="854" spans="1:6">
      <c r="A854">
        <v>599900</v>
      </c>
      <c r="B854">
        <v>5</v>
      </c>
      <c r="C854">
        <v>2</v>
      </c>
      <c r="D854">
        <v>2700</v>
      </c>
      <c r="E854">
        <v>94</v>
      </c>
      <c r="F854">
        <v>27605</v>
      </c>
    </row>
    <row r="855" spans="1:6">
      <c r="A855">
        <v>599950</v>
      </c>
      <c r="B855">
        <v>3</v>
      </c>
      <c r="C855">
        <v>3</v>
      </c>
      <c r="D855">
        <v>3931</v>
      </c>
      <c r="E855">
        <v>8</v>
      </c>
      <c r="F855">
        <v>27614</v>
      </c>
    </row>
    <row r="856" spans="1:6">
      <c r="A856">
        <v>600000</v>
      </c>
      <c r="B856">
        <v>3</v>
      </c>
      <c r="C856">
        <v>2</v>
      </c>
      <c r="D856">
        <v>3000</v>
      </c>
      <c r="E856">
        <v>117</v>
      </c>
      <c r="F856">
        <v>27601</v>
      </c>
    </row>
    <row r="857" spans="1:6">
      <c r="A857">
        <v>605000</v>
      </c>
      <c r="B857">
        <v>4</v>
      </c>
      <c r="C857">
        <v>3.5</v>
      </c>
      <c r="D857">
        <v>3823</v>
      </c>
      <c r="E857">
        <v>28</v>
      </c>
      <c r="F857">
        <v>27615</v>
      </c>
    </row>
    <row r="858" spans="1:6">
      <c r="A858">
        <v>609900</v>
      </c>
      <c r="B858">
        <v>3</v>
      </c>
      <c r="C858">
        <v>3.5</v>
      </c>
      <c r="D858">
        <v>3482</v>
      </c>
      <c r="E858">
        <v>12</v>
      </c>
      <c r="F858">
        <v>27608</v>
      </c>
    </row>
    <row r="859" spans="1:6">
      <c r="A859">
        <v>610000</v>
      </c>
      <c r="B859">
        <v>3</v>
      </c>
      <c r="C859">
        <v>3</v>
      </c>
      <c r="D859">
        <v>1629</v>
      </c>
      <c r="E859">
        <v>99</v>
      </c>
      <c r="F859">
        <v>27607</v>
      </c>
    </row>
    <row r="860" spans="1:6">
      <c r="A860">
        <v>616990</v>
      </c>
      <c r="B860">
        <v>4</v>
      </c>
      <c r="C860">
        <v>3.5</v>
      </c>
      <c r="D860">
        <v>5241</v>
      </c>
      <c r="E860">
        <v>1</v>
      </c>
      <c r="F860">
        <v>27607</v>
      </c>
    </row>
    <row r="861" spans="1:6">
      <c r="A861">
        <v>619900</v>
      </c>
      <c r="B861">
        <v>3</v>
      </c>
      <c r="C861">
        <v>2.5</v>
      </c>
      <c r="D861">
        <v>3660</v>
      </c>
      <c r="E861">
        <v>12</v>
      </c>
      <c r="F861">
        <v>27615</v>
      </c>
    </row>
    <row r="862" spans="1:6">
      <c r="A862">
        <v>619900</v>
      </c>
      <c r="B862">
        <v>4</v>
      </c>
      <c r="C862">
        <v>3.5</v>
      </c>
      <c r="D862">
        <v>2711</v>
      </c>
      <c r="E862">
        <v>0</v>
      </c>
      <c r="F862">
        <v>27608</v>
      </c>
    </row>
    <row r="863" spans="1:6">
      <c r="A863">
        <v>620000</v>
      </c>
      <c r="B863">
        <v>4</v>
      </c>
      <c r="C863">
        <v>3</v>
      </c>
      <c r="D863">
        <v>3250</v>
      </c>
      <c r="E863">
        <v>84</v>
      </c>
      <c r="F863">
        <v>27608</v>
      </c>
    </row>
    <row r="864" spans="1:6">
      <c r="A864">
        <v>624900</v>
      </c>
      <c r="B864">
        <v>5</v>
      </c>
      <c r="C864">
        <v>3.5</v>
      </c>
      <c r="D864">
        <v>3872</v>
      </c>
      <c r="E864">
        <v>9</v>
      </c>
      <c r="F864">
        <v>27614</v>
      </c>
    </row>
    <row r="865" spans="1:6">
      <c r="A865">
        <v>625000</v>
      </c>
      <c r="B865">
        <v>5</v>
      </c>
      <c r="C865">
        <v>3.5</v>
      </c>
      <c r="D865">
        <v>2881</v>
      </c>
      <c r="E865">
        <v>1</v>
      </c>
      <c r="F865">
        <v>27613</v>
      </c>
    </row>
    <row r="866" spans="1:6">
      <c r="A866">
        <v>625000</v>
      </c>
      <c r="B866">
        <v>5</v>
      </c>
      <c r="C866">
        <v>4.5</v>
      </c>
      <c r="D866">
        <v>3679</v>
      </c>
      <c r="E866">
        <v>0</v>
      </c>
      <c r="F866">
        <v>27612</v>
      </c>
    </row>
    <row r="867" spans="1:6">
      <c r="A867">
        <v>625000</v>
      </c>
      <c r="B867">
        <v>4</v>
      </c>
      <c r="C867">
        <v>3.5</v>
      </c>
      <c r="D867">
        <v>3275</v>
      </c>
      <c r="E867">
        <v>1</v>
      </c>
      <c r="F867">
        <v>27609</v>
      </c>
    </row>
    <row r="868" spans="1:6">
      <c r="A868">
        <v>625000</v>
      </c>
      <c r="B868">
        <v>4</v>
      </c>
      <c r="C868">
        <v>3.5</v>
      </c>
      <c r="D868">
        <v>3356</v>
      </c>
      <c r="E868">
        <v>1</v>
      </c>
      <c r="F868">
        <v>27609</v>
      </c>
    </row>
    <row r="869" spans="1:6">
      <c r="A869">
        <v>625000</v>
      </c>
      <c r="B869">
        <v>5</v>
      </c>
      <c r="C869">
        <v>4.5</v>
      </c>
      <c r="D869">
        <v>4796</v>
      </c>
      <c r="E869">
        <v>7</v>
      </c>
      <c r="F869">
        <v>27609</v>
      </c>
    </row>
    <row r="870" spans="1:6">
      <c r="A870">
        <v>627990</v>
      </c>
      <c r="B870">
        <v>5</v>
      </c>
      <c r="C870">
        <v>4.5</v>
      </c>
      <c r="D870">
        <v>4239</v>
      </c>
      <c r="E870">
        <v>0</v>
      </c>
      <c r="F870">
        <v>27615</v>
      </c>
    </row>
    <row r="871" spans="1:6">
      <c r="A871">
        <v>629000</v>
      </c>
      <c r="B871">
        <v>4</v>
      </c>
      <c r="C871">
        <v>3.5</v>
      </c>
      <c r="D871">
        <v>3948</v>
      </c>
      <c r="E871">
        <v>12</v>
      </c>
      <c r="F871">
        <v>27612</v>
      </c>
    </row>
    <row r="872" spans="1:6">
      <c r="A872">
        <v>629900</v>
      </c>
      <c r="B872">
        <v>4</v>
      </c>
      <c r="C872">
        <v>3.5</v>
      </c>
      <c r="D872">
        <v>3966</v>
      </c>
      <c r="E872">
        <v>23</v>
      </c>
      <c r="F872">
        <v>27612</v>
      </c>
    </row>
    <row r="873" spans="1:6">
      <c r="A873">
        <v>630000</v>
      </c>
      <c r="B873">
        <v>4</v>
      </c>
      <c r="C873">
        <v>4</v>
      </c>
      <c r="D873">
        <v>4295</v>
      </c>
      <c r="E873">
        <v>10</v>
      </c>
      <c r="F873">
        <v>27617</v>
      </c>
    </row>
    <row r="874" spans="1:6">
      <c r="A874">
        <v>634900</v>
      </c>
      <c r="B874">
        <v>4</v>
      </c>
      <c r="C874">
        <v>4.5</v>
      </c>
      <c r="D874">
        <v>3616</v>
      </c>
      <c r="E874">
        <v>7</v>
      </c>
      <c r="F874">
        <v>27612</v>
      </c>
    </row>
    <row r="875" spans="1:6">
      <c r="A875">
        <v>637000</v>
      </c>
      <c r="B875">
        <v>5</v>
      </c>
      <c r="C875">
        <v>4</v>
      </c>
      <c r="D875">
        <v>4118</v>
      </c>
      <c r="E875">
        <v>3</v>
      </c>
      <c r="F875">
        <v>27612</v>
      </c>
    </row>
    <row r="876" spans="1:6">
      <c r="A876">
        <v>639000</v>
      </c>
      <c r="B876">
        <v>3</v>
      </c>
      <c r="C876">
        <v>3.5</v>
      </c>
      <c r="D876">
        <v>2519</v>
      </c>
      <c r="E876">
        <v>84</v>
      </c>
      <c r="F876">
        <v>27607</v>
      </c>
    </row>
    <row r="877" spans="1:6">
      <c r="A877">
        <v>640000</v>
      </c>
      <c r="B877">
        <v>4</v>
      </c>
      <c r="C877">
        <v>4.5</v>
      </c>
      <c r="D877">
        <v>4274</v>
      </c>
      <c r="E877">
        <v>1</v>
      </c>
      <c r="F877">
        <v>27612</v>
      </c>
    </row>
    <row r="878" spans="1:6">
      <c r="A878">
        <v>642900</v>
      </c>
      <c r="B878">
        <v>5</v>
      </c>
      <c r="C878">
        <v>4</v>
      </c>
      <c r="D878">
        <v>3940</v>
      </c>
      <c r="E878">
        <v>1</v>
      </c>
      <c r="F878">
        <v>27612</v>
      </c>
    </row>
    <row r="879" spans="1:6">
      <c r="A879">
        <v>649500</v>
      </c>
      <c r="B879">
        <v>6</v>
      </c>
      <c r="C879">
        <v>3.5</v>
      </c>
      <c r="D879">
        <v>3355</v>
      </c>
      <c r="E879">
        <v>94</v>
      </c>
      <c r="F879">
        <v>27605</v>
      </c>
    </row>
    <row r="880" spans="1:6">
      <c r="A880">
        <v>649900</v>
      </c>
      <c r="B880">
        <v>4</v>
      </c>
      <c r="C880">
        <v>3.5</v>
      </c>
      <c r="D880">
        <v>3280</v>
      </c>
      <c r="E880">
        <v>0</v>
      </c>
      <c r="F880">
        <v>27609</v>
      </c>
    </row>
    <row r="881" spans="1:6">
      <c r="A881">
        <v>649990</v>
      </c>
      <c r="B881">
        <v>3</v>
      </c>
      <c r="C881">
        <v>3</v>
      </c>
      <c r="D881">
        <v>3100</v>
      </c>
      <c r="E881">
        <v>0</v>
      </c>
      <c r="F881">
        <v>27612</v>
      </c>
    </row>
    <row r="882" spans="1:6">
      <c r="A882">
        <v>649990</v>
      </c>
      <c r="B882">
        <v>4</v>
      </c>
      <c r="C882">
        <v>4</v>
      </c>
      <c r="D882">
        <v>4289</v>
      </c>
      <c r="E882">
        <v>1</v>
      </c>
      <c r="F882">
        <v>27607</v>
      </c>
    </row>
    <row r="883" spans="1:6">
      <c r="A883">
        <v>649999</v>
      </c>
      <c r="B883">
        <v>5</v>
      </c>
      <c r="C883">
        <v>5</v>
      </c>
      <c r="D883">
        <v>4792</v>
      </c>
      <c r="E883">
        <v>1</v>
      </c>
      <c r="F883">
        <v>27612</v>
      </c>
    </row>
    <row r="884" spans="1:6">
      <c r="A884">
        <v>650000</v>
      </c>
      <c r="B884">
        <v>4</v>
      </c>
      <c r="C884">
        <v>4.5</v>
      </c>
      <c r="D884">
        <v>3900</v>
      </c>
      <c r="E884">
        <v>0</v>
      </c>
      <c r="F884">
        <v>27613</v>
      </c>
    </row>
    <row r="885" spans="1:6">
      <c r="A885">
        <v>650000</v>
      </c>
      <c r="B885">
        <v>4</v>
      </c>
      <c r="C885">
        <v>3.5</v>
      </c>
      <c r="D885">
        <v>2901</v>
      </c>
      <c r="E885">
        <v>0</v>
      </c>
      <c r="F885">
        <v>27608</v>
      </c>
    </row>
    <row r="886" spans="1:6">
      <c r="A886">
        <v>650000</v>
      </c>
      <c r="B886">
        <v>4</v>
      </c>
      <c r="C886">
        <v>3.5</v>
      </c>
      <c r="D886">
        <v>2800</v>
      </c>
      <c r="E886">
        <v>1</v>
      </c>
      <c r="F886">
        <v>27609</v>
      </c>
    </row>
    <row r="887" spans="1:6">
      <c r="A887">
        <v>659000</v>
      </c>
      <c r="B887">
        <v>4</v>
      </c>
      <c r="C887">
        <v>3.5</v>
      </c>
      <c r="D887">
        <v>2909</v>
      </c>
      <c r="E887">
        <v>1</v>
      </c>
      <c r="F887">
        <v>27607</v>
      </c>
    </row>
    <row r="888" spans="1:6">
      <c r="A888">
        <v>659900</v>
      </c>
      <c r="B888">
        <v>4</v>
      </c>
      <c r="C888">
        <v>3.5</v>
      </c>
      <c r="D888">
        <v>3400</v>
      </c>
      <c r="E888">
        <v>1</v>
      </c>
      <c r="F888">
        <v>27615</v>
      </c>
    </row>
    <row r="889" spans="1:6">
      <c r="A889">
        <v>659900</v>
      </c>
      <c r="B889">
        <v>5</v>
      </c>
      <c r="C889">
        <v>3.5</v>
      </c>
      <c r="D889">
        <v>4013</v>
      </c>
      <c r="E889">
        <v>0</v>
      </c>
      <c r="F889">
        <v>27615</v>
      </c>
    </row>
    <row r="890" spans="1:6">
      <c r="A890">
        <v>664257</v>
      </c>
      <c r="B890">
        <v>4</v>
      </c>
      <c r="C890">
        <v>3.5</v>
      </c>
      <c r="D890">
        <v>3414</v>
      </c>
      <c r="E890">
        <v>0</v>
      </c>
      <c r="F890">
        <v>27612</v>
      </c>
    </row>
    <row r="891" spans="1:6">
      <c r="A891">
        <v>664900</v>
      </c>
      <c r="B891">
        <v>5</v>
      </c>
      <c r="C891">
        <v>3.5</v>
      </c>
      <c r="D891">
        <v>3952</v>
      </c>
      <c r="E891">
        <v>8</v>
      </c>
      <c r="F891">
        <v>27613</v>
      </c>
    </row>
    <row r="892" spans="1:6">
      <c r="A892">
        <v>665000</v>
      </c>
      <c r="B892">
        <v>6</v>
      </c>
      <c r="C892">
        <v>4.5</v>
      </c>
      <c r="D892">
        <v>4315</v>
      </c>
      <c r="E892">
        <v>25</v>
      </c>
      <c r="F892">
        <v>27615</v>
      </c>
    </row>
    <row r="893" spans="1:6">
      <c r="A893">
        <v>665990</v>
      </c>
      <c r="B893">
        <v>5</v>
      </c>
      <c r="C893">
        <v>4.5</v>
      </c>
      <c r="D893">
        <v>3877</v>
      </c>
      <c r="E893">
        <v>1</v>
      </c>
      <c r="F893">
        <v>27612</v>
      </c>
    </row>
    <row r="894" spans="1:6">
      <c r="A894">
        <v>670000</v>
      </c>
      <c r="B894">
        <v>4</v>
      </c>
      <c r="C894">
        <v>3.5</v>
      </c>
      <c r="D894">
        <v>2937</v>
      </c>
      <c r="E894">
        <v>1</v>
      </c>
      <c r="F894">
        <v>27609</v>
      </c>
    </row>
    <row r="895" spans="1:6">
      <c r="A895">
        <v>674300</v>
      </c>
      <c r="B895">
        <v>5</v>
      </c>
      <c r="C895">
        <v>5</v>
      </c>
      <c r="D895">
        <v>3885</v>
      </c>
      <c r="E895">
        <v>0</v>
      </c>
      <c r="F895">
        <v>27612</v>
      </c>
    </row>
    <row r="896" spans="1:6">
      <c r="A896">
        <v>674500</v>
      </c>
      <c r="B896">
        <v>4</v>
      </c>
      <c r="C896">
        <v>2.5</v>
      </c>
      <c r="D896">
        <v>3603</v>
      </c>
      <c r="E896">
        <v>22</v>
      </c>
      <c r="F896">
        <v>27615</v>
      </c>
    </row>
    <row r="897" spans="1:6">
      <c r="A897">
        <v>674950</v>
      </c>
      <c r="B897">
        <v>4</v>
      </c>
      <c r="C897">
        <v>3.5</v>
      </c>
      <c r="D897">
        <v>2963</v>
      </c>
      <c r="E897">
        <v>7</v>
      </c>
      <c r="F897">
        <v>27607</v>
      </c>
    </row>
    <row r="898" spans="1:6">
      <c r="A898">
        <v>674990</v>
      </c>
      <c r="B898">
        <v>5</v>
      </c>
      <c r="C898">
        <v>4.5</v>
      </c>
      <c r="D898">
        <v>4131</v>
      </c>
      <c r="E898">
        <v>1</v>
      </c>
      <c r="F898">
        <v>27607</v>
      </c>
    </row>
    <row r="899" spans="1:6">
      <c r="A899">
        <v>680000</v>
      </c>
      <c r="B899">
        <v>4</v>
      </c>
      <c r="C899">
        <v>3</v>
      </c>
      <c r="D899">
        <v>3825</v>
      </c>
      <c r="E899">
        <v>48</v>
      </c>
      <c r="F899">
        <v>27612</v>
      </c>
    </row>
    <row r="900" spans="1:6">
      <c r="A900">
        <v>681900</v>
      </c>
      <c r="B900">
        <v>4</v>
      </c>
      <c r="C900">
        <v>5.5</v>
      </c>
      <c r="D900">
        <v>4800</v>
      </c>
      <c r="E900">
        <v>0</v>
      </c>
      <c r="F900">
        <v>27613</v>
      </c>
    </row>
    <row r="901" spans="1:6">
      <c r="A901">
        <v>684900</v>
      </c>
      <c r="B901">
        <v>4</v>
      </c>
      <c r="C901">
        <v>4.5</v>
      </c>
      <c r="D901">
        <v>5848</v>
      </c>
      <c r="E901">
        <v>12</v>
      </c>
      <c r="F901">
        <v>27614</v>
      </c>
    </row>
    <row r="902" spans="1:6">
      <c r="A902">
        <v>689000</v>
      </c>
      <c r="B902">
        <v>4</v>
      </c>
      <c r="C902">
        <v>3</v>
      </c>
      <c r="D902">
        <v>4047</v>
      </c>
      <c r="E902">
        <v>41</v>
      </c>
      <c r="F902">
        <v>27615</v>
      </c>
    </row>
    <row r="903" spans="1:6">
      <c r="A903">
        <v>689900</v>
      </c>
      <c r="B903">
        <v>4</v>
      </c>
      <c r="C903">
        <v>3.5</v>
      </c>
      <c r="D903">
        <v>3605</v>
      </c>
      <c r="E903">
        <v>0</v>
      </c>
      <c r="F903">
        <v>27612</v>
      </c>
    </row>
    <row r="904" spans="1:6">
      <c r="A904">
        <v>691990</v>
      </c>
      <c r="B904">
        <v>5</v>
      </c>
      <c r="C904">
        <v>4.5</v>
      </c>
      <c r="D904">
        <v>4519</v>
      </c>
      <c r="E904">
        <v>1</v>
      </c>
      <c r="F904">
        <v>27612</v>
      </c>
    </row>
    <row r="905" spans="1:6">
      <c r="A905">
        <v>695000</v>
      </c>
      <c r="B905">
        <v>4</v>
      </c>
      <c r="C905">
        <v>3.5</v>
      </c>
      <c r="D905">
        <v>2921</v>
      </c>
      <c r="E905">
        <v>0</v>
      </c>
      <c r="F905">
        <v>27608</v>
      </c>
    </row>
    <row r="906" spans="1:6">
      <c r="A906">
        <v>695000</v>
      </c>
      <c r="B906">
        <v>4</v>
      </c>
      <c r="C906">
        <v>3</v>
      </c>
      <c r="D906">
        <v>2841</v>
      </c>
      <c r="E906">
        <v>98</v>
      </c>
      <c r="F906">
        <v>27605</v>
      </c>
    </row>
    <row r="907" spans="1:6">
      <c r="A907">
        <v>699000</v>
      </c>
      <c r="B907">
        <v>4</v>
      </c>
      <c r="C907">
        <v>3.5</v>
      </c>
      <c r="D907">
        <v>4012</v>
      </c>
      <c r="E907">
        <v>21</v>
      </c>
      <c r="F907">
        <v>27612</v>
      </c>
    </row>
    <row r="908" spans="1:6">
      <c r="A908">
        <v>699500</v>
      </c>
      <c r="B908">
        <v>4</v>
      </c>
      <c r="C908">
        <v>4.5</v>
      </c>
      <c r="D908">
        <v>4730</v>
      </c>
      <c r="E908">
        <v>27</v>
      </c>
      <c r="F908">
        <v>27615</v>
      </c>
    </row>
    <row r="909" spans="1:6">
      <c r="A909">
        <v>699900</v>
      </c>
      <c r="B909">
        <v>5</v>
      </c>
      <c r="C909">
        <v>4.5</v>
      </c>
      <c r="D909">
        <v>4288</v>
      </c>
      <c r="E909">
        <v>8</v>
      </c>
      <c r="F909">
        <v>27613</v>
      </c>
    </row>
    <row r="910" spans="1:6">
      <c r="A910">
        <v>699900</v>
      </c>
      <c r="B910">
        <v>4</v>
      </c>
      <c r="C910">
        <v>4.5</v>
      </c>
      <c r="D910">
        <v>4021</v>
      </c>
      <c r="E910">
        <v>36</v>
      </c>
      <c r="F910">
        <v>27612</v>
      </c>
    </row>
    <row r="911" spans="1:6">
      <c r="A911">
        <v>699900</v>
      </c>
      <c r="B911">
        <v>4</v>
      </c>
      <c r="C911">
        <v>4</v>
      </c>
      <c r="D911">
        <v>3558</v>
      </c>
      <c r="E911">
        <v>42</v>
      </c>
      <c r="F911">
        <v>27612</v>
      </c>
    </row>
    <row r="912" spans="1:6">
      <c r="A912">
        <v>699900</v>
      </c>
      <c r="B912">
        <v>4</v>
      </c>
      <c r="C912">
        <v>3.5</v>
      </c>
      <c r="D912">
        <v>3576</v>
      </c>
      <c r="E912">
        <v>0</v>
      </c>
      <c r="F912">
        <v>27607</v>
      </c>
    </row>
    <row r="913" spans="1:6">
      <c r="A913">
        <v>699900</v>
      </c>
      <c r="B913">
        <v>5</v>
      </c>
      <c r="C913">
        <v>5.5</v>
      </c>
      <c r="D913">
        <v>5226</v>
      </c>
      <c r="E913">
        <v>8</v>
      </c>
      <c r="F913">
        <v>27614</v>
      </c>
    </row>
    <row r="914" spans="1:6">
      <c r="A914">
        <v>699990</v>
      </c>
      <c r="B914">
        <v>4</v>
      </c>
      <c r="C914">
        <v>3.5</v>
      </c>
      <c r="D914">
        <v>3832</v>
      </c>
      <c r="E914">
        <v>0</v>
      </c>
      <c r="F914">
        <v>27612</v>
      </c>
    </row>
    <row r="915" spans="1:6">
      <c r="A915">
        <v>700000</v>
      </c>
      <c r="B915">
        <v>4</v>
      </c>
      <c r="C915">
        <v>4</v>
      </c>
      <c r="D915">
        <v>3000</v>
      </c>
      <c r="E915">
        <v>0</v>
      </c>
      <c r="F915">
        <v>27608</v>
      </c>
    </row>
    <row r="916" spans="1:6">
      <c r="A916">
        <v>700000</v>
      </c>
      <c r="B916">
        <v>5</v>
      </c>
      <c r="C916">
        <v>3</v>
      </c>
      <c r="D916">
        <v>4258</v>
      </c>
      <c r="E916">
        <v>66</v>
      </c>
      <c r="F916">
        <v>27608</v>
      </c>
    </row>
    <row r="917" spans="1:6">
      <c r="A917">
        <v>719900</v>
      </c>
      <c r="B917">
        <v>4</v>
      </c>
      <c r="C917">
        <v>4</v>
      </c>
      <c r="D917">
        <v>5991</v>
      </c>
      <c r="E917">
        <v>9</v>
      </c>
      <c r="F917">
        <v>27613</v>
      </c>
    </row>
    <row r="918" spans="1:6">
      <c r="A918">
        <v>719900</v>
      </c>
      <c r="B918">
        <v>6</v>
      </c>
      <c r="C918">
        <v>6</v>
      </c>
      <c r="D918">
        <v>5633</v>
      </c>
      <c r="E918">
        <v>13</v>
      </c>
      <c r="F918">
        <v>27614</v>
      </c>
    </row>
    <row r="919" spans="1:6">
      <c r="A919">
        <v>724900</v>
      </c>
      <c r="B919">
        <v>4</v>
      </c>
      <c r="C919">
        <v>3.5</v>
      </c>
      <c r="D919">
        <v>5234</v>
      </c>
      <c r="E919">
        <v>11</v>
      </c>
      <c r="F919">
        <v>27614</v>
      </c>
    </row>
    <row r="920" spans="1:6">
      <c r="A920">
        <v>725000</v>
      </c>
      <c r="B920">
        <v>4</v>
      </c>
      <c r="C920">
        <v>4.5</v>
      </c>
      <c r="D920">
        <v>4796</v>
      </c>
      <c r="E920">
        <v>7</v>
      </c>
      <c r="F920">
        <v>27613</v>
      </c>
    </row>
    <row r="921" spans="1:6">
      <c r="A921">
        <v>725000</v>
      </c>
      <c r="B921">
        <v>5</v>
      </c>
      <c r="C921">
        <v>4</v>
      </c>
      <c r="D921">
        <v>4155</v>
      </c>
      <c r="E921">
        <v>3</v>
      </c>
      <c r="F921">
        <v>27612</v>
      </c>
    </row>
    <row r="922" spans="1:6">
      <c r="A922">
        <v>725000</v>
      </c>
      <c r="B922">
        <v>4</v>
      </c>
      <c r="C922">
        <v>3.5</v>
      </c>
      <c r="D922">
        <v>3532</v>
      </c>
      <c r="E922">
        <v>59</v>
      </c>
      <c r="F922">
        <v>27609</v>
      </c>
    </row>
    <row r="923" spans="1:6">
      <c r="A923">
        <v>725000</v>
      </c>
      <c r="B923">
        <v>4</v>
      </c>
      <c r="C923">
        <v>3.5</v>
      </c>
      <c r="D923">
        <v>3850</v>
      </c>
      <c r="E923">
        <v>7</v>
      </c>
      <c r="F923">
        <v>27607</v>
      </c>
    </row>
    <row r="924" spans="1:6">
      <c r="A924">
        <v>725000</v>
      </c>
      <c r="B924">
        <v>4</v>
      </c>
      <c r="C924">
        <v>3.5</v>
      </c>
      <c r="D924">
        <v>3467</v>
      </c>
      <c r="E924">
        <v>1</v>
      </c>
      <c r="F924">
        <v>27608</v>
      </c>
    </row>
    <row r="925" spans="1:6">
      <c r="A925">
        <v>729000</v>
      </c>
      <c r="B925">
        <v>6</v>
      </c>
      <c r="C925">
        <v>5</v>
      </c>
      <c r="D925">
        <v>6451</v>
      </c>
      <c r="E925">
        <v>9</v>
      </c>
      <c r="F925">
        <v>27614</v>
      </c>
    </row>
    <row r="926" spans="1:6">
      <c r="A926">
        <v>729900</v>
      </c>
      <c r="B926">
        <v>4</v>
      </c>
      <c r="C926">
        <v>3.5</v>
      </c>
      <c r="D926">
        <v>3140</v>
      </c>
      <c r="E926">
        <v>6</v>
      </c>
      <c r="F926">
        <v>27608</v>
      </c>
    </row>
    <row r="927" spans="1:6">
      <c r="A927">
        <v>733300</v>
      </c>
      <c r="B927">
        <v>4</v>
      </c>
      <c r="C927">
        <v>3.5</v>
      </c>
      <c r="D927">
        <v>4867</v>
      </c>
      <c r="E927">
        <v>13</v>
      </c>
      <c r="F927">
        <v>27614</v>
      </c>
    </row>
    <row r="928" spans="1:6">
      <c r="A928">
        <v>739000</v>
      </c>
      <c r="B928">
        <v>4</v>
      </c>
      <c r="C928">
        <v>3.5</v>
      </c>
      <c r="D928">
        <v>3046</v>
      </c>
      <c r="E928">
        <v>27</v>
      </c>
      <c r="F928">
        <v>27608</v>
      </c>
    </row>
    <row r="929" spans="1:6">
      <c r="A929">
        <v>739900</v>
      </c>
      <c r="B929">
        <v>4</v>
      </c>
      <c r="C929">
        <v>3.5</v>
      </c>
      <c r="D929">
        <v>4152</v>
      </c>
      <c r="E929">
        <v>8</v>
      </c>
      <c r="F929">
        <v>27615</v>
      </c>
    </row>
    <row r="930" spans="1:6">
      <c r="A930">
        <v>745263</v>
      </c>
      <c r="B930">
        <v>5</v>
      </c>
      <c r="C930">
        <v>4.5</v>
      </c>
      <c r="D930">
        <v>5434</v>
      </c>
      <c r="E930">
        <v>1</v>
      </c>
      <c r="F930">
        <v>27612</v>
      </c>
    </row>
    <row r="931" spans="1:6">
      <c r="A931">
        <v>749000</v>
      </c>
      <c r="B931">
        <v>6</v>
      </c>
      <c r="C931">
        <v>3.5</v>
      </c>
      <c r="D931">
        <v>4785</v>
      </c>
      <c r="E931">
        <v>1</v>
      </c>
      <c r="F931">
        <v>27615</v>
      </c>
    </row>
    <row r="932" spans="1:6">
      <c r="A932">
        <v>749900</v>
      </c>
      <c r="B932">
        <v>4</v>
      </c>
      <c r="C932">
        <v>3.5</v>
      </c>
      <c r="D932">
        <v>4525</v>
      </c>
      <c r="E932">
        <v>25</v>
      </c>
      <c r="F932">
        <v>27615</v>
      </c>
    </row>
    <row r="933" spans="1:6">
      <c r="A933">
        <v>749900</v>
      </c>
      <c r="B933">
        <v>5</v>
      </c>
      <c r="C933">
        <v>4.5</v>
      </c>
      <c r="D933">
        <v>3998</v>
      </c>
      <c r="E933">
        <v>3</v>
      </c>
      <c r="F933">
        <v>27615</v>
      </c>
    </row>
    <row r="934" spans="1:6">
      <c r="A934">
        <v>750000</v>
      </c>
      <c r="B934">
        <v>4</v>
      </c>
      <c r="C934">
        <v>3.5</v>
      </c>
      <c r="D934">
        <v>3582</v>
      </c>
      <c r="E934">
        <v>1</v>
      </c>
      <c r="F934">
        <v>27608</v>
      </c>
    </row>
    <row r="935" spans="1:6">
      <c r="A935">
        <v>750491</v>
      </c>
      <c r="B935">
        <v>4</v>
      </c>
      <c r="C935">
        <v>3.5</v>
      </c>
      <c r="D935">
        <v>4096</v>
      </c>
      <c r="E935">
        <v>1</v>
      </c>
      <c r="F935">
        <v>27612</v>
      </c>
    </row>
    <row r="936" spans="1:6">
      <c r="A936">
        <v>764000</v>
      </c>
      <c r="B936">
        <v>5</v>
      </c>
      <c r="C936">
        <v>4</v>
      </c>
      <c r="D936">
        <v>4099</v>
      </c>
      <c r="E936">
        <v>0</v>
      </c>
      <c r="F936">
        <v>27612</v>
      </c>
    </row>
    <row r="937" spans="1:6">
      <c r="A937">
        <v>764990</v>
      </c>
      <c r="B937">
        <v>5</v>
      </c>
      <c r="C937">
        <v>5</v>
      </c>
      <c r="D937">
        <v>5016</v>
      </c>
      <c r="E937">
        <v>1</v>
      </c>
      <c r="F937">
        <v>27612</v>
      </c>
    </row>
    <row r="938" spans="1:6">
      <c r="A938">
        <v>765000</v>
      </c>
      <c r="B938">
        <v>4</v>
      </c>
      <c r="C938">
        <v>4.5</v>
      </c>
      <c r="D938">
        <v>3733</v>
      </c>
      <c r="E938">
        <v>7</v>
      </c>
      <c r="F938">
        <v>27607</v>
      </c>
    </row>
    <row r="939" spans="1:6">
      <c r="A939">
        <v>769000</v>
      </c>
      <c r="B939">
        <v>5</v>
      </c>
      <c r="C939">
        <v>4.5</v>
      </c>
      <c r="D939">
        <v>3921</v>
      </c>
      <c r="E939">
        <v>0</v>
      </c>
      <c r="F939">
        <v>27609</v>
      </c>
    </row>
    <row r="940" spans="1:6">
      <c r="A940">
        <v>774000</v>
      </c>
      <c r="B940">
        <v>5</v>
      </c>
      <c r="C940">
        <v>4.5</v>
      </c>
      <c r="D940">
        <v>4727</v>
      </c>
      <c r="E940">
        <v>7</v>
      </c>
      <c r="F940">
        <v>27612</v>
      </c>
    </row>
    <row r="941" spans="1:6">
      <c r="A941">
        <v>774990</v>
      </c>
      <c r="B941">
        <v>4</v>
      </c>
      <c r="C941">
        <v>3.5</v>
      </c>
      <c r="D941">
        <v>4971</v>
      </c>
      <c r="E941">
        <v>5</v>
      </c>
      <c r="F941">
        <v>27612</v>
      </c>
    </row>
    <row r="942" spans="1:6">
      <c r="A942">
        <v>775000</v>
      </c>
      <c r="B942">
        <v>3</v>
      </c>
      <c r="C942">
        <v>4</v>
      </c>
      <c r="D942">
        <v>4622</v>
      </c>
      <c r="E942">
        <v>7</v>
      </c>
      <c r="F942">
        <v>27612</v>
      </c>
    </row>
    <row r="943" spans="1:6">
      <c r="A943">
        <v>775000</v>
      </c>
      <c r="B943">
        <v>6</v>
      </c>
      <c r="C943">
        <v>4.5</v>
      </c>
      <c r="D943">
        <v>5598</v>
      </c>
      <c r="E943">
        <v>1</v>
      </c>
      <c r="F943">
        <v>27612</v>
      </c>
    </row>
    <row r="944" spans="1:6">
      <c r="A944">
        <v>775000</v>
      </c>
      <c r="B944">
        <v>5</v>
      </c>
      <c r="C944">
        <v>4.5</v>
      </c>
      <c r="D944">
        <v>5879</v>
      </c>
      <c r="E944">
        <v>8</v>
      </c>
      <c r="F944">
        <v>27614</v>
      </c>
    </row>
    <row r="945" spans="1:6">
      <c r="A945">
        <v>775000</v>
      </c>
      <c r="B945">
        <v>5</v>
      </c>
      <c r="C945">
        <v>3</v>
      </c>
      <c r="D945">
        <v>3845</v>
      </c>
      <c r="E945">
        <v>6</v>
      </c>
      <c r="F945">
        <v>27608</v>
      </c>
    </row>
    <row r="946" spans="1:6">
      <c r="A946">
        <v>779000</v>
      </c>
      <c r="B946">
        <v>5</v>
      </c>
      <c r="C946">
        <v>4</v>
      </c>
      <c r="D946">
        <v>3257</v>
      </c>
      <c r="E946">
        <v>0</v>
      </c>
      <c r="F946">
        <v>27607</v>
      </c>
    </row>
    <row r="947" spans="1:6">
      <c r="A947">
        <v>785900</v>
      </c>
      <c r="B947">
        <v>4</v>
      </c>
      <c r="C947">
        <v>4.5</v>
      </c>
      <c r="D947">
        <v>4160</v>
      </c>
      <c r="E947">
        <v>26</v>
      </c>
      <c r="F947">
        <v>27607</v>
      </c>
    </row>
    <row r="948" spans="1:6">
      <c r="A948">
        <v>789900</v>
      </c>
      <c r="B948">
        <v>5</v>
      </c>
      <c r="C948">
        <v>4.5</v>
      </c>
      <c r="D948">
        <v>4850</v>
      </c>
      <c r="E948">
        <v>0</v>
      </c>
      <c r="F948">
        <v>27615</v>
      </c>
    </row>
    <row r="949" spans="1:6">
      <c r="A949">
        <v>795000</v>
      </c>
      <c r="B949">
        <v>4</v>
      </c>
      <c r="C949">
        <v>3.5</v>
      </c>
      <c r="D949">
        <v>3900</v>
      </c>
      <c r="E949">
        <v>74</v>
      </c>
      <c r="F949">
        <v>27608</v>
      </c>
    </row>
    <row r="950" spans="1:6">
      <c r="A950">
        <v>795000</v>
      </c>
      <c r="B950">
        <v>4</v>
      </c>
      <c r="C950">
        <v>3.5</v>
      </c>
      <c r="D950">
        <v>4246</v>
      </c>
      <c r="E950">
        <v>24</v>
      </c>
      <c r="F950">
        <v>27601</v>
      </c>
    </row>
    <row r="951" spans="1:6">
      <c r="A951">
        <v>799000</v>
      </c>
      <c r="B951">
        <v>5</v>
      </c>
      <c r="C951">
        <v>4.5</v>
      </c>
      <c r="D951">
        <v>4506</v>
      </c>
      <c r="E951">
        <v>10</v>
      </c>
      <c r="F951">
        <v>27617</v>
      </c>
    </row>
    <row r="952" spans="1:6">
      <c r="A952">
        <v>799000</v>
      </c>
      <c r="B952">
        <v>5</v>
      </c>
      <c r="C952">
        <v>3.5</v>
      </c>
      <c r="D952">
        <v>3449</v>
      </c>
      <c r="E952">
        <v>6</v>
      </c>
      <c r="F952">
        <v>27608</v>
      </c>
    </row>
    <row r="953" spans="1:6">
      <c r="A953">
        <v>799000</v>
      </c>
      <c r="B953">
        <v>5</v>
      </c>
      <c r="C953">
        <v>5</v>
      </c>
      <c r="D953">
        <v>5089</v>
      </c>
      <c r="E953">
        <v>25</v>
      </c>
      <c r="F953">
        <v>27614</v>
      </c>
    </row>
    <row r="954" spans="1:6">
      <c r="A954">
        <v>799900</v>
      </c>
      <c r="B954">
        <v>5</v>
      </c>
      <c r="C954">
        <v>3.5</v>
      </c>
      <c r="D954">
        <v>3681</v>
      </c>
      <c r="E954">
        <v>67</v>
      </c>
      <c r="F954">
        <v>27607</v>
      </c>
    </row>
    <row r="955" spans="1:6">
      <c r="A955">
        <v>799900</v>
      </c>
      <c r="B955">
        <v>4</v>
      </c>
      <c r="C955">
        <v>3.5</v>
      </c>
      <c r="D955">
        <v>4406</v>
      </c>
      <c r="E955">
        <v>24</v>
      </c>
      <c r="F955">
        <v>27615</v>
      </c>
    </row>
    <row r="956" spans="1:6">
      <c r="A956">
        <v>799900</v>
      </c>
      <c r="B956">
        <v>5</v>
      </c>
      <c r="C956">
        <v>4.5</v>
      </c>
      <c r="D956">
        <v>3652</v>
      </c>
      <c r="E956">
        <v>1</v>
      </c>
      <c r="F956">
        <v>27612</v>
      </c>
    </row>
    <row r="957" spans="1:6">
      <c r="A957">
        <v>799900</v>
      </c>
      <c r="B957">
        <v>3</v>
      </c>
      <c r="C957">
        <v>3.5</v>
      </c>
      <c r="D957">
        <v>4251</v>
      </c>
      <c r="E957">
        <v>8</v>
      </c>
      <c r="F957">
        <v>27608</v>
      </c>
    </row>
    <row r="958" spans="1:6">
      <c r="A958">
        <v>815000</v>
      </c>
      <c r="B958">
        <v>4</v>
      </c>
      <c r="C958">
        <v>4.5</v>
      </c>
      <c r="D958">
        <v>4248</v>
      </c>
      <c r="E958">
        <v>25</v>
      </c>
      <c r="F958">
        <v>27615</v>
      </c>
    </row>
    <row r="959" spans="1:6">
      <c r="A959">
        <v>819900</v>
      </c>
      <c r="B959">
        <v>4</v>
      </c>
      <c r="C959">
        <v>4.5</v>
      </c>
      <c r="D959">
        <v>3553</v>
      </c>
      <c r="E959">
        <v>1</v>
      </c>
      <c r="F959">
        <v>27608</v>
      </c>
    </row>
    <row r="960" spans="1:6">
      <c r="A960">
        <v>825000</v>
      </c>
      <c r="B960">
        <v>5</v>
      </c>
      <c r="C960">
        <v>4</v>
      </c>
      <c r="D960">
        <v>4825</v>
      </c>
      <c r="E960">
        <v>60</v>
      </c>
      <c r="F960">
        <v>27609</v>
      </c>
    </row>
    <row r="961" spans="1:6">
      <c r="A961">
        <v>839900</v>
      </c>
      <c r="B961">
        <v>4</v>
      </c>
      <c r="C961">
        <v>3.5</v>
      </c>
      <c r="D961">
        <v>4185</v>
      </c>
      <c r="E961">
        <v>38</v>
      </c>
      <c r="F961">
        <v>27615</v>
      </c>
    </row>
    <row r="962" spans="1:6">
      <c r="A962">
        <v>839900</v>
      </c>
      <c r="B962">
        <v>4</v>
      </c>
      <c r="C962">
        <v>4.5</v>
      </c>
      <c r="D962">
        <v>4413</v>
      </c>
      <c r="E962">
        <v>1</v>
      </c>
      <c r="F962">
        <v>27614</v>
      </c>
    </row>
    <row r="963" spans="1:6">
      <c r="A963">
        <v>840000</v>
      </c>
      <c r="B963">
        <v>6</v>
      </c>
      <c r="C963">
        <v>5.5</v>
      </c>
      <c r="D963">
        <v>5263</v>
      </c>
      <c r="E963">
        <v>0</v>
      </c>
      <c r="F963">
        <v>27612</v>
      </c>
    </row>
    <row r="964" spans="1:6">
      <c r="A964">
        <v>849500</v>
      </c>
      <c r="B964">
        <v>5</v>
      </c>
      <c r="C964">
        <v>4.5</v>
      </c>
      <c r="D964">
        <v>5014</v>
      </c>
      <c r="E964">
        <v>12</v>
      </c>
      <c r="F964">
        <v>27617</v>
      </c>
    </row>
    <row r="965" spans="1:6">
      <c r="A965">
        <v>849900</v>
      </c>
      <c r="B965">
        <v>4</v>
      </c>
      <c r="C965">
        <v>4</v>
      </c>
      <c r="D965">
        <v>3605</v>
      </c>
      <c r="E965">
        <v>76</v>
      </c>
      <c r="F965">
        <v>27608</v>
      </c>
    </row>
    <row r="966" spans="1:6">
      <c r="A966">
        <v>849900</v>
      </c>
      <c r="B966">
        <v>5</v>
      </c>
      <c r="C966">
        <v>4.5</v>
      </c>
      <c r="D966">
        <v>4852</v>
      </c>
      <c r="E966">
        <v>48</v>
      </c>
      <c r="F966">
        <v>27612</v>
      </c>
    </row>
    <row r="967" spans="1:6">
      <c r="A967">
        <v>850000</v>
      </c>
      <c r="B967">
        <v>4</v>
      </c>
      <c r="C967">
        <v>4.5</v>
      </c>
      <c r="D967">
        <v>4500</v>
      </c>
      <c r="E967">
        <v>13</v>
      </c>
      <c r="F967">
        <v>27615</v>
      </c>
    </row>
    <row r="968" spans="1:6">
      <c r="A968">
        <v>854900</v>
      </c>
      <c r="B968">
        <v>4</v>
      </c>
      <c r="C968">
        <v>3.5</v>
      </c>
      <c r="D968">
        <v>3191</v>
      </c>
      <c r="E968">
        <v>11</v>
      </c>
      <c r="F968">
        <v>27608</v>
      </c>
    </row>
    <row r="969" spans="1:6">
      <c r="A969">
        <v>860000</v>
      </c>
      <c r="B969">
        <v>5</v>
      </c>
      <c r="C969">
        <v>4</v>
      </c>
      <c r="D969">
        <v>4530</v>
      </c>
      <c r="E969">
        <v>46</v>
      </c>
      <c r="F969">
        <v>27609</v>
      </c>
    </row>
    <row r="970" spans="1:6">
      <c r="A970">
        <v>860520</v>
      </c>
      <c r="B970">
        <v>4</v>
      </c>
      <c r="C970">
        <v>4.5</v>
      </c>
      <c r="D970">
        <v>4779</v>
      </c>
      <c r="E970">
        <v>0</v>
      </c>
      <c r="F970">
        <v>27607</v>
      </c>
    </row>
    <row r="971" spans="1:6">
      <c r="A971">
        <v>874900</v>
      </c>
      <c r="B971">
        <v>5</v>
      </c>
      <c r="C971">
        <v>5</v>
      </c>
      <c r="D971">
        <v>5201</v>
      </c>
      <c r="E971">
        <v>9</v>
      </c>
      <c r="F971">
        <v>27612</v>
      </c>
    </row>
    <row r="972" spans="1:6">
      <c r="A972">
        <v>875000</v>
      </c>
      <c r="B972">
        <v>4</v>
      </c>
      <c r="C972">
        <v>4.5</v>
      </c>
      <c r="D972">
        <v>4314</v>
      </c>
      <c r="E972">
        <v>9</v>
      </c>
      <c r="F972">
        <v>27612</v>
      </c>
    </row>
    <row r="973" spans="1:6">
      <c r="A973">
        <v>875000</v>
      </c>
      <c r="B973">
        <v>4</v>
      </c>
      <c r="C973">
        <v>4</v>
      </c>
      <c r="D973">
        <v>4026</v>
      </c>
      <c r="E973">
        <v>48</v>
      </c>
      <c r="F973">
        <v>27609</v>
      </c>
    </row>
    <row r="974" spans="1:6">
      <c r="A974">
        <v>885900</v>
      </c>
      <c r="B974">
        <v>5</v>
      </c>
      <c r="C974">
        <v>4.5</v>
      </c>
      <c r="D974">
        <v>4716</v>
      </c>
      <c r="E974">
        <v>8</v>
      </c>
      <c r="F974">
        <v>27607</v>
      </c>
    </row>
    <row r="975" spans="1:6">
      <c r="A975">
        <v>895000</v>
      </c>
      <c r="B975">
        <v>4</v>
      </c>
      <c r="C975">
        <v>4.5</v>
      </c>
      <c r="D975">
        <v>5052</v>
      </c>
      <c r="E975">
        <v>6</v>
      </c>
      <c r="F975">
        <v>27609</v>
      </c>
    </row>
    <row r="976" spans="1:6">
      <c r="A976">
        <v>899000</v>
      </c>
      <c r="B976">
        <v>5</v>
      </c>
      <c r="C976">
        <v>4.5</v>
      </c>
      <c r="D976">
        <v>4261</v>
      </c>
      <c r="E976">
        <v>8</v>
      </c>
      <c r="F976">
        <v>27607</v>
      </c>
    </row>
    <row r="977" spans="1:6">
      <c r="A977">
        <v>899000</v>
      </c>
      <c r="B977">
        <v>4</v>
      </c>
      <c r="C977">
        <v>3.5</v>
      </c>
      <c r="D977">
        <v>4000</v>
      </c>
      <c r="E977">
        <v>1</v>
      </c>
      <c r="F977">
        <v>27608</v>
      </c>
    </row>
    <row r="978" spans="1:6">
      <c r="A978">
        <v>899000</v>
      </c>
      <c r="B978">
        <v>5</v>
      </c>
      <c r="C978">
        <v>4.5</v>
      </c>
      <c r="D978">
        <v>5412</v>
      </c>
      <c r="E978">
        <v>6</v>
      </c>
      <c r="F978">
        <v>27609</v>
      </c>
    </row>
    <row r="979" spans="1:6">
      <c r="A979">
        <v>899900</v>
      </c>
      <c r="B979">
        <v>5</v>
      </c>
      <c r="C979">
        <v>4.5</v>
      </c>
      <c r="D979">
        <v>4760</v>
      </c>
      <c r="E979">
        <v>8</v>
      </c>
      <c r="F979">
        <v>27612</v>
      </c>
    </row>
    <row r="980" spans="1:6">
      <c r="A980">
        <v>899900</v>
      </c>
      <c r="B980">
        <v>4</v>
      </c>
      <c r="C980">
        <v>5</v>
      </c>
      <c r="D980">
        <v>4220</v>
      </c>
      <c r="E980">
        <v>1</v>
      </c>
      <c r="F980">
        <v>27614</v>
      </c>
    </row>
    <row r="981" spans="1:6">
      <c r="A981">
        <v>899999</v>
      </c>
      <c r="B981">
        <v>6</v>
      </c>
      <c r="C981">
        <v>4.5</v>
      </c>
      <c r="D981">
        <v>6000</v>
      </c>
      <c r="E981">
        <v>9</v>
      </c>
      <c r="F981">
        <v>27614</v>
      </c>
    </row>
    <row r="982" spans="1:6">
      <c r="A982">
        <v>900000</v>
      </c>
      <c r="B982">
        <v>6</v>
      </c>
      <c r="C982">
        <v>6</v>
      </c>
      <c r="D982">
        <v>8068</v>
      </c>
      <c r="E982">
        <v>12</v>
      </c>
      <c r="F982">
        <v>27617</v>
      </c>
    </row>
    <row r="983" spans="1:6">
      <c r="A983">
        <v>918165</v>
      </c>
      <c r="B983">
        <v>5</v>
      </c>
      <c r="C983">
        <v>4.5</v>
      </c>
      <c r="D983">
        <v>6155</v>
      </c>
      <c r="E983">
        <v>1</v>
      </c>
      <c r="F983">
        <v>27615</v>
      </c>
    </row>
    <row r="984" spans="1:6">
      <c r="A984">
        <v>925000</v>
      </c>
      <c r="B984">
        <v>4</v>
      </c>
      <c r="C984">
        <v>3.5</v>
      </c>
      <c r="D984">
        <v>4046</v>
      </c>
      <c r="E984">
        <v>2</v>
      </c>
      <c r="F984">
        <v>27608</v>
      </c>
    </row>
    <row r="985" spans="1:6">
      <c r="A985">
        <v>935000</v>
      </c>
      <c r="B985">
        <v>4</v>
      </c>
      <c r="C985">
        <v>3.5</v>
      </c>
      <c r="D985">
        <v>6487</v>
      </c>
      <c r="E985">
        <v>173</v>
      </c>
      <c r="F985">
        <v>27604</v>
      </c>
    </row>
    <row r="986" spans="1:6">
      <c r="A986">
        <v>935000</v>
      </c>
      <c r="B986">
        <v>5</v>
      </c>
      <c r="C986">
        <v>4.5</v>
      </c>
      <c r="D986">
        <v>4826</v>
      </c>
      <c r="E986">
        <v>1</v>
      </c>
      <c r="F986">
        <v>27614</v>
      </c>
    </row>
    <row r="987" spans="1:6">
      <c r="A987">
        <v>939000</v>
      </c>
      <c r="B987">
        <v>4</v>
      </c>
      <c r="C987">
        <v>4.5</v>
      </c>
      <c r="D987">
        <v>4906</v>
      </c>
      <c r="E987">
        <v>6</v>
      </c>
      <c r="F987">
        <v>27607</v>
      </c>
    </row>
    <row r="988" spans="1:6">
      <c r="A988">
        <v>949000</v>
      </c>
      <c r="B988">
        <v>4</v>
      </c>
      <c r="C988">
        <v>4.5</v>
      </c>
      <c r="D988">
        <v>5150</v>
      </c>
      <c r="E988">
        <v>6</v>
      </c>
      <c r="F988">
        <v>27609</v>
      </c>
    </row>
    <row r="989" spans="1:6">
      <c r="A989">
        <v>949700</v>
      </c>
      <c r="B989">
        <v>5</v>
      </c>
      <c r="C989">
        <v>4.5</v>
      </c>
      <c r="D989">
        <v>5844</v>
      </c>
      <c r="E989">
        <v>21</v>
      </c>
      <c r="F989">
        <v>27615</v>
      </c>
    </row>
    <row r="990" spans="1:6">
      <c r="A990">
        <v>949900</v>
      </c>
      <c r="B990">
        <v>4</v>
      </c>
      <c r="C990">
        <v>3.5</v>
      </c>
      <c r="D990">
        <v>3800</v>
      </c>
      <c r="E990">
        <v>1</v>
      </c>
      <c r="F990">
        <v>27607</v>
      </c>
    </row>
    <row r="991" spans="1:6">
      <c r="A991">
        <v>949900</v>
      </c>
      <c r="B991">
        <v>4</v>
      </c>
      <c r="C991">
        <v>3.5</v>
      </c>
      <c r="D991">
        <v>4222</v>
      </c>
      <c r="E991">
        <v>7</v>
      </c>
      <c r="F991">
        <v>27608</v>
      </c>
    </row>
    <row r="992" spans="1:6">
      <c r="A992">
        <v>950000</v>
      </c>
      <c r="B992">
        <v>4</v>
      </c>
      <c r="C992">
        <v>4.5</v>
      </c>
      <c r="D992">
        <v>4725</v>
      </c>
      <c r="E992">
        <v>0</v>
      </c>
      <c r="F992">
        <v>27615</v>
      </c>
    </row>
    <row r="993" spans="1:6">
      <c r="A993">
        <v>969000</v>
      </c>
      <c r="B993">
        <v>5</v>
      </c>
      <c r="C993">
        <v>4.5</v>
      </c>
      <c r="D993">
        <v>5231</v>
      </c>
      <c r="E993">
        <v>38</v>
      </c>
      <c r="F993">
        <v>27615</v>
      </c>
    </row>
    <row r="994" spans="1:6">
      <c r="A994">
        <v>974900</v>
      </c>
      <c r="B994">
        <v>4</v>
      </c>
      <c r="C994">
        <v>4.5</v>
      </c>
      <c r="D994">
        <v>6483</v>
      </c>
      <c r="E994">
        <v>13</v>
      </c>
      <c r="F994">
        <v>27591</v>
      </c>
    </row>
    <row r="995" spans="1:6">
      <c r="A995">
        <v>980000</v>
      </c>
      <c r="B995">
        <v>4</v>
      </c>
      <c r="C995">
        <v>4.5</v>
      </c>
      <c r="D995">
        <v>5614</v>
      </c>
      <c r="E995">
        <v>12</v>
      </c>
      <c r="F995">
        <v>27617</v>
      </c>
    </row>
    <row r="996" spans="1:6">
      <c r="A996">
        <v>985000</v>
      </c>
      <c r="B996">
        <v>5</v>
      </c>
      <c r="C996">
        <v>5.5</v>
      </c>
      <c r="D996">
        <v>5822</v>
      </c>
      <c r="E996">
        <v>24</v>
      </c>
      <c r="F996">
        <v>27612</v>
      </c>
    </row>
    <row r="997" spans="1:6">
      <c r="A997">
        <v>995000</v>
      </c>
      <c r="B997">
        <v>5</v>
      </c>
      <c r="C997">
        <v>3.5</v>
      </c>
      <c r="D997">
        <v>4580</v>
      </c>
      <c r="E997">
        <v>17</v>
      </c>
      <c r="F997">
        <v>27608</v>
      </c>
    </row>
    <row r="998" spans="1:6">
      <c r="A998">
        <v>999000</v>
      </c>
      <c r="B998">
        <v>6</v>
      </c>
      <c r="C998">
        <v>4</v>
      </c>
      <c r="D998">
        <v>5000</v>
      </c>
      <c r="E998">
        <v>1</v>
      </c>
      <c r="F998">
        <v>27608</v>
      </c>
    </row>
    <row r="999" spans="1:6">
      <c r="A999">
        <v>999500</v>
      </c>
      <c r="B999">
        <v>5</v>
      </c>
      <c r="C999">
        <v>5</v>
      </c>
      <c r="D999">
        <v>4266</v>
      </c>
      <c r="E999">
        <v>0</v>
      </c>
      <c r="F999">
        <v>27607</v>
      </c>
    </row>
    <row r="1000" spans="1:6">
      <c r="A1000">
        <v>999900</v>
      </c>
      <c r="B1000">
        <v>4</v>
      </c>
      <c r="C1000">
        <v>3.5</v>
      </c>
      <c r="D1000">
        <v>3501</v>
      </c>
      <c r="E1000">
        <v>0</v>
      </c>
      <c r="F1000">
        <v>27609</v>
      </c>
    </row>
    <row r="1001" spans="1:6">
      <c r="A1001">
        <v>1049900</v>
      </c>
      <c r="B1001">
        <v>4</v>
      </c>
      <c r="C1001">
        <v>3.5</v>
      </c>
      <c r="D1001">
        <v>3507</v>
      </c>
      <c r="E1001">
        <v>0</v>
      </c>
      <c r="F1001">
        <v>27609</v>
      </c>
    </row>
    <row r="1002" spans="1:6">
      <c r="A1002">
        <v>1049900</v>
      </c>
      <c r="B1002">
        <v>4</v>
      </c>
      <c r="C1002">
        <v>3.5</v>
      </c>
      <c r="D1002">
        <v>3477</v>
      </c>
      <c r="E1002">
        <v>0</v>
      </c>
      <c r="F1002">
        <v>27609</v>
      </c>
    </row>
    <row r="1003" spans="1:6">
      <c r="A1003">
        <v>1050000</v>
      </c>
      <c r="B1003">
        <v>5</v>
      </c>
      <c r="C1003">
        <v>5.5</v>
      </c>
      <c r="D1003">
        <v>5440</v>
      </c>
      <c r="E1003">
        <v>6</v>
      </c>
      <c r="F1003">
        <v>27607</v>
      </c>
    </row>
    <row r="1004" spans="1:6">
      <c r="A1004">
        <v>1075000</v>
      </c>
      <c r="B1004">
        <v>4</v>
      </c>
      <c r="C1004">
        <v>3</v>
      </c>
      <c r="D1004">
        <v>3701</v>
      </c>
      <c r="E1004">
        <v>7</v>
      </c>
      <c r="F1004">
        <v>27612</v>
      </c>
    </row>
    <row r="1005" spans="1:6">
      <c r="A1005">
        <v>1085000</v>
      </c>
      <c r="B1005">
        <v>4</v>
      </c>
      <c r="C1005">
        <v>4.5</v>
      </c>
      <c r="D1005">
        <v>4350</v>
      </c>
      <c r="E1005">
        <v>1</v>
      </c>
      <c r="F1005">
        <v>27608</v>
      </c>
    </row>
    <row r="1006" spans="1:6">
      <c r="A1006">
        <v>1099900</v>
      </c>
      <c r="B1006">
        <v>4</v>
      </c>
      <c r="C1006">
        <v>3.5</v>
      </c>
      <c r="D1006">
        <v>3434</v>
      </c>
      <c r="E1006">
        <v>0</v>
      </c>
      <c r="F1006">
        <v>27609</v>
      </c>
    </row>
    <row r="1007" spans="1:6">
      <c r="A1007">
        <v>1100000</v>
      </c>
      <c r="B1007">
        <v>4</v>
      </c>
      <c r="C1007">
        <v>3.5</v>
      </c>
      <c r="D1007">
        <v>4253</v>
      </c>
      <c r="E1007">
        <v>20</v>
      </c>
      <c r="F1007">
        <v>27609</v>
      </c>
    </row>
    <row r="1008" spans="1:6">
      <c r="A1008">
        <v>1100000</v>
      </c>
      <c r="B1008">
        <v>5</v>
      </c>
      <c r="C1008">
        <v>3.5</v>
      </c>
      <c r="D1008">
        <v>4361</v>
      </c>
      <c r="E1008">
        <v>20</v>
      </c>
      <c r="F1008">
        <v>27608</v>
      </c>
    </row>
    <row r="1009" spans="1:6">
      <c r="A1009">
        <v>1125000</v>
      </c>
      <c r="B1009">
        <v>5</v>
      </c>
      <c r="C1009">
        <v>5.5</v>
      </c>
      <c r="D1009">
        <v>6298</v>
      </c>
      <c r="E1009">
        <v>17</v>
      </c>
      <c r="F1009">
        <v>27614</v>
      </c>
    </row>
    <row r="1010" spans="1:6">
      <c r="A1010">
        <v>1125834</v>
      </c>
      <c r="B1010">
        <v>5</v>
      </c>
      <c r="C1010">
        <v>5</v>
      </c>
      <c r="D1010">
        <v>4811</v>
      </c>
      <c r="E1010">
        <v>2</v>
      </c>
      <c r="F1010">
        <v>27612</v>
      </c>
    </row>
    <row r="1011" spans="1:6">
      <c r="A1011">
        <v>1149900</v>
      </c>
      <c r="B1011">
        <v>4</v>
      </c>
      <c r="C1011">
        <v>3.5</v>
      </c>
      <c r="D1011">
        <v>3459</v>
      </c>
      <c r="E1011">
        <v>0</v>
      </c>
      <c r="F1011">
        <v>27609</v>
      </c>
    </row>
    <row r="1012" spans="1:6">
      <c r="A1012">
        <v>1150000</v>
      </c>
      <c r="B1012">
        <v>5</v>
      </c>
      <c r="C1012">
        <v>4.5</v>
      </c>
      <c r="D1012">
        <v>4408</v>
      </c>
      <c r="E1012">
        <v>92</v>
      </c>
      <c r="F1012">
        <v>27605</v>
      </c>
    </row>
    <row r="1013" spans="1:6">
      <c r="A1013">
        <v>1175000</v>
      </c>
      <c r="B1013">
        <v>4</v>
      </c>
      <c r="C1013">
        <v>4.5</v>
      </c>
      <c r="D1013">
        <v>7166</v>
      </c>
      <c r="E1013">
        <v>18</v>
      </c>
      <c r="F1013">
        <v>27614</v>
      </c>
    </row>
    <row r="1014" spans="1:6">
      <c r="A1014">
        <v>1225000</v>
      </c>
      <c r="B1014">
        <v>5</v>
      </c>
      <c r="C1014">
        <v>6</v>
      </c>
      <c r="D1014">
        <v>5605</v>
      </c>
      <c r="E1014">
        <v>18</v>
      </c>
      <c r="F1014">
        <v>27607</v>
      </c>
    </row>
    <row r="1015" spans="1:6">
      <c r="A1015">
        <v>1250000</v>
      </c>
      <c r="B1015">
        <v>6</v>
      </c>
      <c r="C1015">
        <v>7.5</v>
      </c>
      <c r="D1015">
        <v>8273</v>
      </c>
      <c r="E1015">
        <v>11</v>
      </c>
      <c r="F1015">
        <v>27617</v>
      </c>
    </row>
    <row r="1016" spans="1:6">
      <c r="A1016">
        <v>1250000</v>
      </c>
      <c r="B1016">
        <v>6</v>
      </c>
      <c r="C1016">
        <v>6.5</v>
      </c>
      <c r="D1016">
        <v>4656</v>
      </c>
      <c r="E1016">
        <v>97</v>
      </c>
      <c r="F1016">
        <v>27605</v>
      </c>
    </row>
    <row r="1017" spans="1:6">
      <c r="A1017">
        <v>1295000</v>
      </c>
      <c r="B1017">
        <v>5</v>
      </c>
      <c r="C1017">
        <v>4.5</v>
      </c>
      <c r="D1017">
        <v>6083</v>
      </c>
      <c r="E1017">
        <v>14</v>
      </c>
      <c r="F1017">
        <v>27609</v>
      </c>
    </row>
    <row r="1018" spans="1:6">
      <c r="A1018">
        <v>1295000</v>
      </c>
      <c r="B1018">
        <v>5</v>
      </c>
      <c r="C1018">
        <v>5.5</v>
      </c>
      <c r="D1018">
        <v>6156</v>
      </c>
      <c r="E1018">
        <v>13</v>
      </c>
      <c r="F1018">
        <v>27608</v>
      </c>
    </row>
    <row r="1019" spans="1:6">
      <c r="A1019">
        <v>1295000</v>
      </c>
      <c r="B1019">
        <v>4</v>
      </c>
      <c r="C1019">
        <v>3.5</v>
      </c>
      <c r="D1019">
        <v>4553</v>
      </c>
      <c r="E1019">
        <v>31</v>
      </c>
      <c r="F1019">
        <v>27609</v>
      </c>
    </row>
    <row r="1020" spans="1:6">
      <c r="A1020">
        <v>1385500</v>
      </c>
      <c r="B1020">
        <v>4</v>
      </c>
      <c r="C1020">
        <v>5.5</v>
      </c>
      <c r="D1020">
        <v>6680</v>
      </c>
      <c r="E1020">
        <v>1</v>
      </c>
      <c r="F1020">
        <v>27614</v>
      </c>
    </row>
    <row r="1021" spans="1:6">
      <c r="A1021">
        <v>1450000</v>
      </c>
      <c r="B1021">
        <v>4</v>
      </c>
      <c r="C1021">
        <v>5</v>
      </c>
      <c r="D1021">
        <v>5000</v>
      </c>
      <c r="E1021">
        <v>7</v>
      </c>
      <c r="F1021">
        <v>27609</v>
      </c>
    </row>
    <row r="1022" spans="1:6">
      <c r="A1022">
        <v>1475000</v>
      </c>
      <c r="B1022">
        <v>7</v>
      </c>
      <c r="C1022">
        <v>8</v>
      </c>
      <c r="D1022">
        <v>8024</v>
      </c>
      <c r="E1022">
        <v>11</v>
      </c>
      <c r="F1022">
        <v>27614</v>
      </c>
    </row>
  </sheetData>
  <sortState ref="A2:K1022">
    <sortCondition ref="A2:A1022"/>
  </sortState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C26" sqref="C26"/>
    </sheetView>
  </sheetViews>
  <sheetFormatPr defaultColWidth="8.85546875" defaultRowHeight="15"/>
  <cols>
    <col min="1" max="1" width="17.140625" customWidth="1"/>
    <col min="6" max="7" width="11" customWidth="1"/>
  </cols>
  <sheetData>
    <row r="1" spans="1:6">
      <c r="A1" s="7" t="s">
        <v>29</v>
      </c>
    </row>
    <row r="3" spans="1:6">
      <c r="A3" t="s">
        <v>4</v>
      </c>
    </row>
    <row r="4" spans="1:6" ht="15.75" thickBot="1"/>
    <row r="5" spans="1:6">
      <c r="A5" s="3" t="s">
        <v>5</v>
      </c>
      <c r="B5" s="3"/>
    </row>
    <row r="6" spans="1:6">
      <c r="A6" t="s">
        <v>6</v>
      </c>
      <c r="B6" s="4">
        <v>0.54116421560018124</v>
      </c>
    </row>
    <row r="7" spans="1:6">
      <c r="A7" t="s">
        <v>7</v>
      </c>
      <c r="B7" s="4">
        <v>0.2928587082461595</v>
      </c>
    </row>
    <row r="8" spans="1:6">
      <c r="A8" t="s">
        <v>8</v>
      </c>
      <c r="B8" s="4">
        <v>0.29216475212078774</v>
      </c>
    </row>
    <row r="9" spans="1:6">
      <c r="A9" t="s">
        <v>9</v>
      </c>
      <c r="B9" s="5">
        <v>212210.42599679588</v>
      </c>
    </row>
    <row r="10" spans="1:6" ht="15.75" thickBot="1">
      <c r="A10" s="1" t="s">
        <v>10</v>
      </c>
      <c r="B10" s="1">
        <v>1021</v>
      </c>
    </row>
    <row r="12" spans="1:6" ht="15.75" thickBot="1">
      <c r="A12" t="s">
        <v>11</v>
      </c>
    </row>
    <row r="13" spans="1:6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</row>
    <row r="14" spans="1:6">
      <c r="A14" t="s">
        <v>12</v>
      </c>
      <c r="B14">
        <v>1</v>
      </c>
      <c r="C14">
        <v>19004636323608.602</v>
      </c>
      <c r="D14">
        <v>19004636323608.602</v>
      </c>
      <c r="E14">
        <v>422.0132909544746</v>
      </c>
      <c r="F14" s="9">
        <v>9.7007183035862437E-79</v>
      </c>
    </row>
    <row r="15" spans="1:6">
      <c r="A15" t="s">
        <v>13</v>
      </c>
      <c r="B15">
        <v>1019</v>
      </c>
      <c r="C15">
        <v>45888896934874.672</v>
      </c>
      <c r="D15">
        <v>45033264901.741585</v>
      </c>
    </row>
    <row r="16" spans="1:6" ht="15.75" thickBot="1">
      <c r="A16" s="1" t="s">
        <v>14</v>
      </c>
      <c r="B16" s="1">
        <v>1020</v>
      </c>
      <c r="C16" s="1">
        <v>64893533258483.273</v>
      </c>
      <c r="D16" s="1"/>
      <c r="E16" s="1"/>
      <c r="F16" s="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-236280.24884478567</v>
      </c>
      <c r="C19" s="5">
        <v>29437.471726501251</v>
      </c>
      <c r="D19" s="4">
        <v>-8.0265129777457425</v>
      </c>
      <c r="E19" s="11">
        <v>2.7471519022949105E-15</v>
      </c>
      <c r="F19" s="5">
        <v>-294045.24488094728</v>
      </c>
      <c r="G19" s="5">
        <v>-178515.25280862406</v>
      </c>
    </row>
    <row r="20" spans="1:7" ht="15.75" thickBot="1">
      <c r="A20" s="1" t="s">
        <v>1</v>
      </c>
      <c r="B20" s="10">
        <v>158168.23667381704</v>
      </c>
      <c r="C20" s="10">
        <v>7699.3880468749248</v>
      </c>
      <c r="D20" s="6">
        <v>20.542962078397302</v>
      </c>
      <c r="E20" s="12">
        <v>9.7007183036031103E-79</v>
      </c>
      <c r="F20" s="10">
        <v>143059.76797987663</v>
      </c>
      <c r="G20" s="10">
        <v>173276.70536775744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C27" sqref="C27"/>
    </sheetView>
  </sheetViews>
  <sheetFormatPr defaultColWidth="8.85546875" defaultRowHeight="15"/>
  <cols>
    <col min="1" max="1" width="16.85546875" customWidth="1"/>
    <col min="6" max="6" width="11.140625" customWidth="1"/>
    <col min="7" max="7" width="10.85546875" customWidth="1"/>
  </cols>
  <sheetData>
    <row r="1" spans="1:6">
      <c r="A1" s="7" t="s">
        <v>30</v>
      </c>
    </row>
    <row r="3" spans="1:6">
      <c r="A3" t="s">
        <v>4</v>
      </c>
    </row>
    <row r="4" spans="1:6" ht="15.75" thickBot="1"/>
    <row r="5" spans="1:6">
      <c r="A5" s="3" t="s">
        <v>5</v>
      </c>
      <c r="B5" s="3"/>
    </row>
    <row r="6" spans="1:6">
      <c r="A6" t="s">
        <v>6</v>
      </c>
      <c r="B6" s="4">
        <v>0.74576160013507098</v>
      </c>
    </row>
    <row r="7" spans="1:6">
      <c r="A7" t="s">
        <v>7</v>
      </c>
      <c r="B7" s="4">
        <v>0.55616036423602144</v>
      </c>
    </row>
    <row r="8" spans="1:6">
      <c r="A8" t="s">
        <v>8</v>
      </c>
      <c r="B8" s="4">
        <v>0.55528838066870512</v>
      </c>
    </row>
    <row r="9" spans="1:6">
      <c r="A9" t="s">
        <v>9</v>
      </c>
      <c r="B9" s="5">
        <v>168205.37242681769</v>
      </c>
    </row>
    <row r="10" spans="1:6" ht="15.75" thickBot="1">
      <c r="A10" s="1" t="s">
        <v>10</v>
      </c>
      <c r="B10" s="1">
        <v>1021</v>
      </c>
    </row>
    <row r="12" spans="1:6" ht="15.75" thickBot="1">
      <c r="A12" t="s">
        <v>11</v>
      </c>
    </row>
    <row r="13" spans="1:6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</row>
    <row r="14" spans="1:6">
      <c r="A14" t="s">
        <v>12</v>
      </c>
      <c r="B14">
        <v>2</v>
      </c>
      <c r="C14">
        <v>36091211093600.43</v>
      </c>
      <c r="D14">
        <v>18045605546800.215</v>
      </c>
      <c r="E14">
        <v>637.81060226597685</v>
      </c>
      <c r="F14">
        <v>2.7420555087656814E-180</v>
      </c>
    </row>
    <row r="15" spans="1:6">
      <c r="A15" t="s">
        <v>13</v>
      </c>
      <c r="B15">
        <v>1018</v>
      </c>
      <c r="C15">
        <v>28802322164882.844</v>
      </c>
      <c r="D15">
        <v>28293047313.244442</v>
      </c>
    </row>
    <row r="16" spans="1:6" ht="15.75" thickBot="1">
      <c r="A16" s="1" t="s">
        <v>14</v>
      </c>
      <c r="B16" s="1">
        <v>1020</v>
      </c>
      <c r="C16" s="1">
        <v>64893533258483.273</v>
      </c>
      <c r="D16" s="1"/>
      <c r="E16" s="1"/>
      <c r="F16" s="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-195844.41793124733</v>
      </c>
      <c r="C19" s="5">
        <v>23391.109905646525</v>
      </c>
      <c r="D19" s="4">
        <v>-8.3726004760454416</v>
      </c>
      <c r="E19" s="4">
        <v>1.8474023304978399E-16</v>
      </c>
      <c r="F19" s="5">
        <v>-241744.72356563699</v>
      </c>
      <c r="G19" s="5">
        <v>-149944.11229685767</v>
      </c>
    </row>
    <row r="20" spans="1:7">
      <c r="A20" t="s">
        <v>1</v>
      </c>
      <c r="B20" s="5">
        <v>3260.6019244040144</v>
      </c>
      <c r="C20" s="5">
        <v>8773.7645049210914</v>
      </c>
      <c r="D20" s="4">
        <v>0.37163089145773004</v>
      </c>
      <c r="E20" s="4">
        <v>0.71024502116513655</v>
      </c>
      <c r="F20" s="5">
        <v>-13956.130157335425</v>
      </c>
      <c r="G20" s="5">
        <v>20477.334006143454</v>
      </c>
    </row>
    <row r="21" spans="1:7" ht="15.75" thickBot="1">
      <c r="A21" s="1" t="s">
        <v>2</v>
      </c>
      <c r="B21" s="10">
        <v>188581.32584829433</v>
      </c>
      <c r="C21" s="10">
        <v>7673.809999043262</v>
      </c>
      <c r="D21" s="6">
        <v>24.57466706522651</v>
      </c>
      <c r="E21" s="6">
        <v>4.4791203761393358E-105</v>
      </c>
      <c r="F21" s="10">
        <v>173523.03123306984</v>
      </c>
      <c r="G21" s="10">
        <v>203639.62046351883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G12" sqref="G12"/>
    </sheetView>
  </sheetViews>
  <sheetFormatPr defaultColWidth="8.85546875" defaultRowHeight="15"/>
  <cols>
    <col min="1" max="1" width="18" customWidth="1"/>
    <col min="4" max="4" width="9.42578125" bestFit="1" customWidth="1"/>
    <col min="5" max="5" width="9.28515625" bestFit="1" customWidth="1"/>
    <col min="6" max="7" width="11.42578125" customWidth="1"/>
  </cols>
  <sheetData>
    <row r="1" spans="1:6">
      <c r="A1" s="7" t="s">
        <v>31</v>
      </c>
    </row>
    <row r="3" spans="1:6">
      <c r="A3" t="s">
        <v>4</v>
      </c>
    </row>
    <row r="4" spans="1:6" ht="15.75" thickBot="1"/>
    <row r="5" spans="1:6">
      <c r="A5" s="3" t="s">
        <v>5</v>
      </c>
      <c r="B5" s="3"/>
    </row>
    <row r="6" spans="1:6">
      <c r="A6" t="s">
        <v>6</v>
      </c>
      <c r="B6" s="4">
        <v>0.84824980788025584</v>
      </c>
    </row>
    <row r="7" spans="1:6">
      <c r="A7" t="s">
        <v>7</v>
      </c>
      <c r="B7" s="4">
        <v>0.71952773656889102</v>
      </c>
    </row>
    <row r="8" spans="1:6">
      <c r="A8" t="s">
        <v>8</v>
      </c>
      <c r="B8" s="4">
        <v>0.71897671051106959</v>
      </c>
    </row>
    <row r="9" spans="1:6">
      <c r="A9" t="s">
        <v>9</v>
      </c>
      <c r="B9" s="5">
        <v>133712.4298813054</v>
      </c>
    </row>
    <row r="10" spans="1:6" ht="15.75" thickBot="1">
      <c r="A10" s="1" t="s">
        <v>10</v>
      </c>
      <c r="B10" s="1">
        <v>1021</v>
      </c>
    </row>
    <row r="12" spans="1:6" ht="15.75" thickBot="1">
      <c r="A12" t="s">
        <v>11</v>
      </c>
    </row>
    <row r="13" spans="1:6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</row>
    <row r="14" spans="1:6">
      <c r="A14" t="s">
        <v>12</v>
      </c>
      <c r="B14">
        <v>2</v>
      </c>
      <c r="C14">
        <v>46692697103434.523</v>
      </c>
      <c r="D14">
        <v>23346348551717.262</v>
      </c>
      <c r="E14">
        <v>1305.796207558054</v>
      </c>
      <c r="F14">
        <v>9.4616945713851788E-282</v>
      </c>
    </row>
    <row r="15" spans="1:6">
      <c r="A15" t="s">
        <v>13</v>
      </c>
      <c r="B15">
        <v>1018</v>
      </c>
      <c r="C15">
        <v>18200836155048.75</v>
      </c>
      <c r="D15">
        <v>17879013904.763016</v>
      </c>
    </row>
    <row r="16" spans="1:6" ht="15.75" thickBot="1">
      <c r="A16" s="1" t="s">
        <v>14</v>
      </c>
      <c r="B16" s="1">
        <v>1020</v>
      </c>
      <c r="C16" s="1">
        <v>64893533258483.273</v>
      </c>
      <c r="D16" s="1"/>
      <c r="E16" s="1"/>
      <c r="F16" s="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-3909.9983680238947</v>
      </c>
      <c r="C19" s="5">
        <v>19465.573310179574</v>
      </c>
      <c r="D19" s="4">
        <v>-0.20086736237967112</v>
      </c>
      <c r="E19" s="4">
        <v>0.84084241256115722</v>
      </c>
      <c r="F19" s="5">
        <v>-42107.235176790251</v>
      </c>
      <c r="G19" s="5">
        <v>34287.238440742462</v>
      </c>
    </row>
    <row r="20" spans="1:7">
      <c r="A20" t="s">
        <v>1</v>
      </c>
      <c r="B20" s="5">
        <v>-39809.355280187323</v>
      </c>
      <c r="C20" s="5">
        <v>6988.9144221893484</v>
      </c>
      <c r="D20" s="4">
        <v>-5.6960713603525051</v>
      </c>
      <c r="E20" s="4">
        <v>1.6038368519399769E-8</v>
      </c>
      <c r="F20" s="5">
        <v>-53523.681335046596</v>
      </c>
      <c r="G20" s="5">
        <v>-26095.02922532805</v>
      </c>
    </row>
    <row r="21" spans="1:7" ht="15.75" thickBot="1">
      <c r="A21" s="1" t="s">
        <v>0</v>
      </c>
      <c r="B21" s="10">
        <v>194.44124175738293</v>
      </c>
      <c r="C21" s="10">
        <v>4.9409891155893106</v>
      </c>
      <c r="D21" s="6">
        <v>39.352695828432715</v>
      </c>
      <c r="E21" s="6">
        <v>1.2153517815853954E-206</v>
      </c>
      <c r="F21" s="10">
        <v>184.74555346142074</v>
      </c>
      <c r="G21" s="10">
        <v>204.13693005334511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K17" sqref="K17"/>
    </sheetView>
  </sheetViews>
  <sheetFormatPr defaultColWidth="8.85546875" defaultRowHeight="15"/>
  <cols>
    <col min="1" max="1" width="17.7109375" customWidth="1"/>
    <col min="4" max="4" width="9.28515625" customWidth="1"/>
    <col min="5" max="5" width="8.7109375" customWidth="1"/>
    <col min="6" max="6" width="11.28515625" customWidth="1"/>
    <col min="7" max="7" width="12" customWidth="1"/>
  </cols>
  <sheetData>
    <row r="1" spans="1:6">
      <c r="A1" s="7" t="s">
        <v>32</v>
      </c>
    </row>
    <row r="3" spans="1:6">
      <c r="A3" t="s">
        <v>4</v>
      </c>
    </row>
    <row r="4" spans="1:6" ht="15.75" thickBot="1"/>
    <row r="5" spans="1:6">
      <c r="A5" s="3" t="s">
        <v>5</v>
      </c>
      <c r="B5" s="3"/>
    </row>
    <row r="6" spans="1:6">
      <c r="A6" t="s">
        <v>6</v>
      </c>
      <c r="B6" s="4">
        <v>0.86049248417799229</v>
      </c>
    </row>
    <row r="7" spans="1:6">
      <c r="A7" t="s">
        <v>7</v>
      </c>
      <c r="B7" s="4">
        <v>0.74044731532681229</v>
      </c>
    </row>
    <row r="8" spans="1:6">
      <c r="A8" t="s">
        <v>8</v>
      </c>
      <c r="B8" s="4">
        <v>0.73942545436353202</v>
      </c>
    </row>
    <row r="9" spans="1:6">
      <c r="A9" t="s">
        <v>9</v>
      </c>
      <c r="B9" s="5">
        <v>128755.74589719648</v>
      </c>
    </row>
    <row r="10" spans="1:6" ht="15.75" thickBot="1">
      <c r="A10" s="1" t="s">
        <v>10</v>
      </c>
      <c r="B10" s="1">
        <v>1021</v>
      </c>
    </row>
    <row r="12" spans="1:6" ht="15.75" thickBot="1">
      <c r="A12" t="s">
        <v>11</v>
      </c>
    </row>
    <row r="13" spans="1:6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</row>
    <row r="14" spans="1:6">
      <c r="A14" t="s">
        <v>12</v>
      </c>
      <c r="B14">
        <v>4</v>
      </c>
      <c r="C14">
        <v>48050242483315.148</v>
      </c>
      <c r="D14">
        <v>12012560620828.787</v>
      </c>
      <c r="E14">
        <v>724.60671454745602</v>
      </c>
      <c r="F14" s="4">
        <v>1.0071120803964518E-295</v>
      </c>
    </row>
    <row r="15" spans="1:6">
      <c r="A15" t="s">
        <v>13</v>
      </c>
      <c r="B15">
        <v>1016</v>
      </c>
      <c r="C15">
        <v>16843290775168.123</v>
      </c>
      <c r="D15">
        <v>16578042101.543428</v>
      </c>
    </row>
    <row r="16" spans="1:6" ht="15.75" thickBot="1">
      <c r="A16" s="1" t="s">
        <v>14</v>
      </c>
      <c r="B16" s="1">
        <v>1020</v>
      </c>
      <c r="C16" s="1">
        <v>64893533258483.273</v>
      </c>
      <c r="D16" s="1"/>
      <c r="E16" s="1"/>
      <c r="F16" s="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-93686.373666480184</v>
      </c>
      <c r="C19" s="5">
        <v>21218.874668496304</v>
      </c>
      <c r="D19" s="4">
        <v>-4.4152376188722435</v>
      </c>
      <c r="E19" s="4">
        <v>1.1169615501938985E-5</v>
      </c>
      <c r="F19" s="5">
        <v>-135324.20609815535</v>
      </c>
      <c r="G19" s="5">
        <v>-52048.541234805023</v>
      </c>
    </row>
    <row r="20" spans="1:7">
      <c r="A20" t="s">
        <v>1</v>
      </c>
      <c r="B20" s="5">
        <v>-49123.857612828382</v>
      </c>
      <c r="C20" s="5">
        <v>7008.9430936127801</v>
      </c>
      <c r="D20" s="4">
        <v>-7.0087396853877646</v>
      </c>
      <c r="E20" s="4">
        <v>4.3759487729598724E-12</v>
      </c>
      <c r="F20" s="5">
        <v>-62877.518097391541</v>
      </c>
      <c r="G20" s="5">
        <v>-35370.197128265223</v>
      </c>
    </row>
    <row r="21" spans="1:7">
      <c r="A21" t="s">
        <v>2</v>
      </c>
      <c r="B21" s="5">
        <v>54966.810912497538</v>
      </c>
      <c r="C21" s="5">
        <v>8738.4685621263725</v>
      </c>
      <c r="D21" s="4">
        <v>6.290210981673682</v>
      </c>
      <c r="E21" s="4">
        <v>4.703183777864802E-10</v>
      </c>
      <c r="F21" s="5">
        <v>37819.299775184998</v>
      </c>
      <c r="G21" s="5">
        <v>72114.322049810085</v>
      </c>
    </row>
    <row r="22" spans="1:7">
      <c r="A22" t="s">
        <v>0</v>
      </c>
      <c r="B22" s="5">
        <v>168.92458266246567</v>
      </c>
      <c r="C22" s="5">
        <v>6.8213453184131669</v>
      </c>
      <c r="D22" s="4">
        <v>24.764115402057111</v>
      </c>
      <c r="E22" s="4">
        <v>2.6335808927759393E-106</v>
      </c>
      <c r="F22" s="5">
        <v>155.53904559869417</v>
      </c>
      <c r="G22" s="5">
        <v>182.31011972623716</v>
      </c>
    </row>
    <row r="23" spans="1:7" ht="15.75" thickBot="1">
      <c r="A23" s="1" t="s">
        <v>25</v>
      </c>
      <c r="B23" s="26">
        <v>1511.7184122592007</v>
      </c>
      <c r="C23" s="10">
        <v>188.61606667175403</v>
      </c>
      <c r="D23" s="6">
        <v>8.0147913109121482</v>
      </c>
      <c r="E23" s="6">
        <v>3.0137072847027248E-15</v>
      </c>
      <c r="F23" s="10">
        <v>1141.5967964479551</v>
      </c>
      <c r="G23" s="10">
        <v>1881.8400280704464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C35"/>
  <sheetViews>
    <sheetView workbookViewId="0">
      <selection activeCell="C35" sqref="C35"/>
    </sheetView>
  </sheetViews>
  <sheetFormatPr defaultColWidth="11.42578125" defaultRowHeight="15"/>
  <cols>
    <col min="1" max="1" width="12.42578125" bestFit="1" customWidth="1"/>
    <col min="2" max="2" width="16.140625" customWidth="1"/>
    <col min="3" max="3" width="17.140625" customWidth="1"/>
    <col min="4" max="11" width="2.140625" bestFit="1" customWidth="1"/>
    <col min="12" max="89" width="3.140625" bestFit="1" customWidth="1"/>
    <col min="90" max="95" width="4.140625" bestFit="1" customWidth="1"/>
    <col min="96" max="96" width="10.140625" bestFit="1" customWidth="1"/>
  </cols>
  <sheetData>
    <row r="3" spans="1:3">
      <c r="B3" s="15" t="s">
        <v>44</v>
      </c>
    </row>
    <row r="4" spans="1:3">
      <c r="A4" s="15" t="s">
        <v>46</v>
      </c>
      <c r="B4" t="s">
        <v>43</v>
      </c>
      <c r="C4" t="s">
        <v>45</v>
      </c>
    </row>
    <row r="5" spans="1:3">
      <c r="A5" s="16">
        <v>27164</v>
      </c>
      <c r="B5" s="17">
        <v>3</v>
      </c>
      <c r="C5" s="5">
        <v>425000</v>
      </c>
    </row>
    <row r="6" spans="1:3">
      <c r="A6" s="16">
        <v>27526</v>
      </c>
      <c r="B6" s="17">
        <v>19.333333333333332</v>
      </c>
      <c r="C6" s="5">
        <v>172505</v>
      </c>
    </row>
    <row r="7" spans="1:3">
      <c r="A7" s="16">
        <v>27527</v>
      </c>
      <c r="B7" s="17">
        <v>1.5714285714285714</v>
      </c>
      <c r="C7" s="5">
        <v>231038.57142857142</v>
      </c>
    </row>
    <row r="8" spans="1:3">
      <c r="A8" s="16">
        <v>27540</v>
      </c>
      <c r="B8" s="17">
        <v>0</v>
      </c>
      <c r="C8" s="5">
        <v>416600</v>
      </c>
    </row>
    <row r="9" spans="1:3">
      <c r="A9" s="16">
        <v>27545</v>
      </c>
      <c r="B9" s="17">
        <v>13.5</v>
      </c>
      <c r="C9" s="5">
        <v>227925</v>
      </c>
    </row>
    <row r="10" spans="1:3">
      <c r="A10" s="16">
        <v>27571</v>
      </c>
      <c r="B10" s="17">
        <v>1</v>
      </c>
      <c r="C10" s="5">
        <v>350620</v>
      </c>
    </row>
    <row r="11" spans="1:3">
      <c r="A11" s="16">
        <v>27587</v>
      </c>
      <c r="B11" s="17">
        <v>22</v>
      </c>
      <c r="C11" s="5">
        <v>276200</v>
      </c>
    </row>
    <row r="12" spans="1:3">
      <c r="A12" s="16">
        <v>27591</v>
      </c>
      <c r="B12" s="17">
        <v>13</v>
      </c>
      <c r="C12" s="5">
        <v>974900</v>
      </c>
    </row>
    <row r="13" spans="1:3">
      <c r="A13" s="16">
        <v>27592</v>
      </c>
      <c r="B13" s="17">
        <v>0</v>
      </c>
      <c r="C13" s="5">
        <v>304333.33333333331</v>
      </c>
    </row>
    <row r="14" spans="1:3">
      <c r="A14" s="16">
        <v>27601</v>
      </c>
      <c r="B14" s="17">
        <v>76.090909090909093</v>
      </c>
      <c r="C14" s="5">
        <v>282800</v>
      </c>
    </row>
    <row r="15" spans="1:3">
      <c r="A15" s="16">
        <v>27603</v>
      </c>
      <c r="B15" s="17">
        <v>23.428571428571427</v>
      </c>
      <c r="C15" s="5">
        <v>224910.23809523811</v>
      </c>
    </row>
    <row r="16" spans="1:3">
      <c r="A16" s="16">
        <v>27604</v>
      </c>
      <c r="B16" s="17">
        <v>29.795918367346939</v>
      </c>
      <c r="C16" s="5">
        <v>202942.8469387755</v>
      </c>
    </row>
    <row r="17" spans="1:3">
      <c r="A17" s="16">
        <v>27605</v>
      </c>
      <c r="B17" s="17">
        <v>88.875</v>
      </c>
      <c r="C17" s="5">
        <v>696662.5</v>
      </c>
    </row>
    <row r="18" spans="1:3">
      <c r="A18" s="16">
        <v>27606</v>
      </c>
      <c r="B18" s="17">
        <v>40.93333333333333</v>
      </c>
      <c r="C18" s="5">
        <v>257426.66666666666</v>
      </c>
    </row>
    <row r="19" spans="1:3">
      <c r="A19" s="16">
        <v>27607</v>
      </c>
      <c r="B19" s="17">
        <v>30.192307692307693</v>
      </c>
      <c r="C19" s="5">
        <v>550625.32692307688</v>
      </c>
    </row>
    <row r="20" spans="1:3">
      <c r="A20" s="16">
        <v>27608</v>
      </c>
      <c r="B20" s="17">
        <v>43.267857142857146</v>
      </c>
      <c r="C20" s="5">
        <v>575475</v>
      </c>
    </row>
    <row r="21" spans="1:3">
      <c r="A21" s="16">
        <v>27609</v>
      </c>
      <c r="B21" s="17">
        <v>32.132352941176471</v>
      </c>
      <c r="C21" s="5">
        <v>545436.76470588241</v>
      </c>
    </row>
    <row r="22" spans="1:3">
      <c r="A22" s="16">
        <v>27610</v>
      </c>
      <c r="B22" s="17">
        <v>20.197860962566846</v>
      </c>
      <c r="C22" s="5">
        <v>144963.935828877</v>
      </c>
    </row>
    <row r="23" spans="1:3">
      <c r="A23" s="16">
        <v>27612</v>
      </c>
      <c r="B23" s="17">
        <v>16.142857142857142</v>
      </c>
      <c r="C23" s="5">
        <v>547089.20238095243</v>
      </c>
    </row>
    <row r="24" spans="1:3">
      <c r="A24" s="16">
        <v>27613</v>
      </c>
      <c r="B24" s="17">
        <v>17.803571428571427</v>
      </c>
      <c r="C24" s="5">
        <v>363019.17857142858</v>
      </c>
    </row>
    <row r="25" spans="1:3">
      <c r="A25" s="16">
        <v>27614</v>
      </c>
      <c r="B25" s="17">
        <v>8.772277227722773</v>
      </c>
      <c r="C25" s="5">
        <v>495053.58415841585</v>
      </c>
    </row>
    <row r="26" spans="1:3">
      <c r="A26" s="16">
        <v>27615</v>
      </c>
      <c r="B26" s="17">
        <v>24.471264367816094</v>
      </c>
      <c r="C26" s="5">
        <v>426861.54022988508</v>
      </c>
    </row>
    <row r="27" spans="1:3">
      <c r="A27" s="16">
        <v>27616</v>
      </c>
      <c r="B27" s="17">
        <v>14.755725190839694</v>
      </c>
      <c r="C27" s="5">
        <v>198336.18320610686</v>
      </c>
    </row>
    <row r="28" spans="1:3">
      <c r="A28" s="16">
        <v>27617</v>
      </c>
      <c r="B28" s="17">
        <v>10.647058823529411</v>
      </c>
      <c r="C28" s="5">
        <v>583417.3529411765</v>
      </c>
    </row>
    <row r="29" spans="1:3">
      <c r="A29" s="16">
        <v>27703</v>
      </c>
      <c r="B29" s="17">
        <v>10.5</v>
      </c>
      <c r="C29" s="5">
        <v>221200</v>
      </c>
    </row>
    <row r="30" spans="1:3">
      <c r="A30" s="16">
        <v>27793</v>
      </c>
      <c r="B30" s="17">
        <v>11</v>
      </c>
      <c r="C30" s="5">
        <v>184900</v>
      </c>
    </row>
    <row r="31" spans="1:3">
      <c r="A31" s="16" t="s">
        <v>42</v>
      </c>
      <c r="B31" s="17">
        <v>22.725759059745346</v>
      </c>
      <c r="C31" s="17">
        <v>352861.57688540645</v>
      </c>
    </row>
    <row r="33" spans="3:3">
      <c r="C33" t="s">
        <v>41</v>
      </c>
    </row>
    <row r="35" spans="3:3">
      <c r="C35" t="s">
        <v>41</v>
      </c>
    </row>
  </sheetData>
  <conditionalFormatting pivot="1" sqref="B5:B30">
    <cfRule type="colorScale" priority="1">
      <colorScale>
        <cfvo type="min" val="0"/>
        <cfvo type="max" val="0"/>
        <color rgb="FFFCFCFF"/>
        <color rgb="FFF8696B"/>
      </colorScale>
    </cfRule>
  </conditionalFormatting>
  <conditionalFormatting pivot="1" sqref="C5:C30">
    <cfRule type="colorScale" priority="3">
      <colorScale>
        <cfvo type="min" val="0"/>
        <cfvo type="max" val="0"/>
        <color rgb="FFFCFCFF"/>
        <color rgb="FF63BE7B"/>
      </colorScale>
    </cfRule>
  </conditionalFormatting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selection activeCell="I1" sqref="I1:L1048576"/>
    </sheetView>
  </sheetViews>
  <sheetFormatPr defaultColWidth="10.7109375" defaultRowHeight="15"/>
  <cols>
    <col min="1" max="1" width="29.140625" customWidth="1"/>
    <col min="2" max="2" width="14.42578125" customWidth="1"/>
    <col min="3" max="3" width="16.7109375" customWidth="1"/>
    <col min="5" max="5" width="11.85546875" customWidth="1"/>
    <col min="6" max="6" width="13.42578125" customWidth="1"/>
    <col min="7" max="7" width="12.7109375" bestFit="1" customWidth="1"/>
    <col min="9" max="9" width="16.140625" customWidth="1"/>
    <col min="10" max="10" width="13.85546875" customWidth="1"/>
    <col min="11" max="11" width="14" customWidth="1"/>
    <col min="12" max="12" width="14.140625" customWidth="1"/>
  </cols>
  <sheetData>
    <row r="1" spans="1:5" ht="23.25">
      <c r="A1" s="18" t="s">
        <v>47</v>
      </c>
    </row>
    <row r="3" spans="1:5" ht="23.25">
      <c r="A3" s="18" t="s">
        <v>48</v>
      </c>
    </row>
    <row r="4" spans="1:5" ht="16.5">
      <c r="A4" s="19"/>
    </row>
    <row r="5" spans="1:5" ht="16.5">
      <c r="A5" s="19" t="s">
        <v>49</v>
      </c>
      <c r="B5" s="19">
        <v>0.83964799999999995</v>
      </c>
    </row>
    <row r="6" spans="1:5" ht="16.5">
      <c r="A6" s="19" t="s">
        <v>50</v>
      </c>
      <c r="B6" s="19">
        <v>0.83512200000000003</v>
      </c>
    </row>
    <row r="7" spans="1:5" ht="16.5">
      <c r="A7" s="19" t="s">
        <v>51</v>
      </c>
      <c r="B7" s="19">
        <v>102419.4</v>
      </c>
    </row>
    <row r="8" spans="1:5" ht="16.5">
      <c r="A8" s="19" t="s">
        <v>52</v>
      </c>
      <c r="B8" s="19">
        <v>352861.6</v>
      </c>
    </row>
    <row r="9" spans="1:5" ht="16.5">
      <c r="A9" s="19" t="s">
        <v>53</v>
      </c>
      <c r="B9" s="19">
        <v>1021</v>
      </c>
    </row>
    <row r="11" spans="1:5" ht="23.25">
      <c r="A11" s="18" t="s">
        <v>54</v>
      </c>
    </row>
    <row r="12" spans="1:5" ht="16.5">
      <c r="A12" s="19"/>
    </row>
    <row r="13" spans="1:5" ht="16.5">
      <c r="A13" s="20" t="s">
        <v>55</v>
      </c>
      <c r="B13" s="20" t="s">
        <v>56</v>
      </c>
      <c r="C13" s="20" t="s">
        <v>57</v>
      </c>
      <c r="D13" s="20" t="s">
        <v>58</v>
      </c>
      <c r="E13" s="20" t="s">
        <v>59</v>
      </c>
    </row>
    <row r="14" spans="1:5" ht="16.5">
      <c r="A14" s="19" t="s">
        <v>60</v>
      </c>
      <c r="B14" s="19">
        <v>28</v>
      </c>
      <c r="C14" s="21">
        <v>54488000000000</v>
      </c>
      <c r="D14" s="21">
        <v>1946000000000</v>
      </c>
      <c r="E14" s="19">
        <v>185.51390000000001</v>
      </c>
    </row>
    <row r="15" spans="1:5" ht="16.5">
      <c r="A15" s="19" t="s">
        <v>61</v>
      </c>
      <c r="B15" s="19">
        <v>992</v>
      </c>
      <c r="C15" s="21">
        <v>10406000000000</v>
      </c>
      <c r="D15" s="21">
        <v>10490000000</v>
      </c>
      <c r="E15" s="20" t="s">
        <v>62</v>
      </c>
    </row>
    <row r="16" spans="1:5" ht="16.5">
      <c r="A16" s="19" t="s">
        <v>63</v>
      </c>
      <c r="B16" s="19">
        <v>1020</v>
      </c>
      <c r="C16" s="21">
        <v>64894000000000</v>
      </c>
      <c r="D16" s="19"/>
      <c r="E16" s="22" t="s">
        <v>64</v>
      </c>
    </row>
    <row r="18" spans="1:12" ht="23.25">
      <c r="A18" s="18" t="s">
        <v>65</v>
      </c>
    </row>
    <row r="19" spans="1:12" ht="16.5">
      <c r="A19" s="19"/>
      <c r="K19" t="s">
        <v>41</v>
      </c>
    </row>
    <row r="20" spans="1:12" ht="16.5">
      <c r="A20" s="20" t="s">
        <v>66</v>
      </c>
      <c r="B20" s="20" t="s">
        <v>67</v>
      </c>
      <c r="C20" s="20" t="s">
        <v>68</v>
      </c>
      <c r="D20" s="20" t="s">
        <v>69</v>
      </c>
      <c r="E20" s="20" t="s">
        <v>70</v>
      </c>
      <c r="F20" s="20" t="s">
        <v>22</v>
      </c>
      <c r="G20" s="20" t="s">
        <v>23</v>
      </c>
      <c r="I20" s="20" t="s">
        <v>118</v>
      </c>
      <c r="J20" s="20" t="s">
        <v>119</v>
      </c>
      <c r="K20" s="20" t="s">
        <v>120</v>
      </c>
      <c r="L20" s="20" t="s">
        <v>121</v>
      </c>
    </row>
    <row r="21" spans="1:12" ht="16.5">
      <c r="A21" s="19" t="s">
        <v>15</v>
      </c>
      <c r="B21" s="19">
        <v>-93498.82</v>
      </c>
      <c r="C21" s="19">
        <v>61366.95</v>
      </c>
      <c r="D21" s="19">
        <v>-1.52</v>
      </c>
      <c r="E21" s="23">
        <v>0.12790000000000001</v>
      </c>
      <c r="F21" s="23" t="s">
        <v>97</v>
      </c>
      <c r="G21" s="23">
        <v>26925.114000000001</v>
      </c>
      <c r="I21">
        <v>1</v>
      </c>
      <c r="J21">
        <f>SUMPRODUCT(B21:B49,I21:I49)</f>
        <v>695656.97945999994</v>
      </c>
      <c r="K21">
        <f>J21-B7*_xlfn.T.INV(0.975,1021-28-1)</f>
        <v>494673.42410942493</v>
      </c>
      <c r="L21">
        <f>J21+B7*_xlfn.T.INV(0.975,1021-28-1)</f>
        <v>896640.53481057496</v>
      </c>
    </row>
    <row r="22" spans="1:12" ht="16.5">
      <c r="A22" s="19" t="s">
        <v>0</v>
      </c>
      <c r="B22" s="19">
        <v>151.02346</v>
      </c>
      <c r="C22" s="19">
        <v>5.754537</v>
      </c>
      <c r="D22" s="19">
        <v>26.24</v>
      </c>
      <c r="E22" s="24" t="s">
        <v>64</v>
      </c>
      <c r="F22" s="23">
        <v>139.73099999999999</v>
      </c>
      <c r="G22" s="23">
        <v>162.31593000000001</v>
      </c>
      <c r="I22">
        <v>2851</v>
      </c>
    </row>
    <row r="23" spans="1:12" ht="16.5">
      <c r="A23" s="19" t="s">
        <v>2</v>
      </c>
      <c r="B23" s="19">
        <v>29459.888999999999</v>
      </c>
      <c r="C23" s="19">
        <v>7135.5190000000002</v>
      </c>
      <c r="D23" s="19">
        <v>4.13</v>
      </c>
      <c r="E23" s="24" t="s">
        <v>64</v>
      </c>
      <c r="F23" s="23">
        <v>15457.442999999999</v>
      </c>
      <c r="G23" s="23">
        <v>43462.334000000003</v>
      </c>
      <c r="I23">
        <v>3</v>
      </c>
    </row>
    <row r="24" spans="1:12" ht="16.5">
      <c r="A24" s="19" t="s">
        <v>1</v>
      </c>
      <c r="B24" s="19">
        <v>-38084.75</v>
      </c>
      <c r="C24" s="19">
        <v>5740.3270000000002</v>
      </c>
      <c r="D24" s="19">
        <v>-6.63</v>
      </c>
      <c r="E24" s="24" t="s">
        <v>64</v>
      </c>
      <c r="F24" s="23" t="s">
        <v>98</v>
      </c>
      <c r="G24" s="23" t="s">
        <v>99</v>
      </c>
      <c r="I24">
        <v>4</v>
      </c>
    </row>
    <row r="25" spans="1:12" ht="16.5">
      <c r="A25" s="19" t="s">
        <v>25</v>
      </c>
      <c r="B25" s="19">
        <f>-415.759</f>
        <v>-415.75900000000001</v>
      </c>
      <c r="C25" s="19">
        <v>180.2285</v>
      </c>
      <c r="D25" s="19">
        <v>-2.31</v>
      </c>
      <c r="E25" s="25" t="s">
        <v>71</v>
      </c>
      <c r="F25" s="23" t="s">
        <v>100</v>
      </c>
      <c r="G25" s="23" t="s">
        <v>101</v>
      </c>
      <c r="I25">
        <v>88</v>
      </c>
    </row>
    <row r="26" spans="1:12" ht="16.5">
      <c r="A26" s="19" t="s">
        <v>34</v>
      </c>
      <c r="B26" s="19">
        <v>147425.5</v>
      </c>
      <c r="C26" s="19">
        <v>118417.3</v>
      </c>
      <c r="D26" s="19">
        <v>1.24</v>
      </c>
      <c r="E26" s="23">
        <v>0.21340000000000001</v>
      </c>
      <c r="F26" s="23" t="s">
        <v>102</v>
      </c>
      <c r="G26" s="23">
        <v>379802.75</v>
      </c>
      <c r="I26" t="s">
        <v>41</v>
      </c>
    </row>
    <row r="27" spans="1:12" ht="16.5">
      <c r="A27" s="19" t="s">
        <v>35</v>
      </c>
      <c r="B27" s="19">
        <v>54083.985999999997</v>
      </c>
      <c r="C27" s="19">
        <v>83691.41</v>
      </c>
      <c r="D27" s="19">
        <v>0.65</v>
      </c>
      <c r="E27" s="23">
        <v>0.51829999999999998</v>
      </c>
      <c r="F27" s="23" t="s">
        <v>103</v>
      </c>
      <c r="G27" s="23">
        <v>218316.52</v>
      </c>
    </row>
    <row r="28" spans="1:12" ht="16.5">
      <c r="A28" s="19" t="s">
        <v>72</v>
      </c>
      <c r="B28" s="19">
        <v>15806.184999999999</v>
      </c>
      <c r="C28" s="19">
        <v>70739.289999999994</v>
      </c>
      <c r="D28" s="19">
        <v>0.22</v>
      </c>
      <c r="E28" s="23">
        <v>0.82320000000000004</v>
      </c>
      <c r="F28" s="23" t="s">
        <v>104</v>
      </c>
      <c r="G28" s="23">
        <v>154622.01</v>
      </c>
    </row>
    <row r="29" spans="1:12" ht="16.5">
      <c r="A29" s="19" t="s">
        <v>73</v>
      </c>
      <c r="B29" s="19">
        <v>132275.21</v>
      </c>
      <c r="C29" s="19">
        <v>83857.72</v>
      </c>
      <c r="D29" s="19">
        <v>1.58</v>
      </c>
      <c r="E29" s="23">
        <v>0.115</v>
      </c>
      <c r="F29" s="23" t="s">
        <v>105</v>
      </c>
      <c r="G29" s="23">
        <v>296834.09999999998</v>
      </c>
    </row>
    <row r="30" spans="1:12" ht="16.5">
      <c r="A30" s="19" t="s">
        <v>74</v>
      </c>
      <c r="B30" s="19">
        <v>2935.9652000000001</v>
      </c>
      <c r="C30" s="19">
        <v>93758.82</v>
      </c>
      <c r="D30" s="19">
        <v>0.03</v>
      </c>
      <c r="E30" s="23">
        <v>0.97499999999999998</v>
      </c>
      <c r="F30" s="23" t="s">
        <v>106</v>
      </c>
      <c r="G30" s="23">
        <v>186924.36</v>
      </c>
    </row>
    <row r="31" spans="1:12" ht="16.5">
      <c r="A31" s="19" t="s">
        <v>75</v>
      </c>
      <c r="B31" s="19">
        <v>15959.329</v>
      </c>
      <c r="C31" s="19">
        <v>78313.37</v>
      </c>
      <c r="D31" s="19">
        <v>0.2</v>
      </c>
      <c r="E31" s="23">
        <v>0.83860000000000001</v>
      </c>
      <c r="F31" s="23" t="s">
        <v>107</v>
      </c>
      <c r="G31" s="23">
        <v>169638.22</v>
      </c>
    </row>
    <row r="32" spans="1:12" ht="16.5">
      <c r="A32" s="19" t="s">
        <v>76</v>
      </c>
      <c r="B32" s="19">
        <v>-18905.86</v>
      </c>
      <c r="C32" s="19">
        <v>93959.94</v>
      </c>
      <c r="D32" s="19">
        <v>-0.2</v>
      </c>
      <c r="E32" s="23">
        <v>0.84060000000000001</v>
      </c>
      <c r="F32" s="23" t="s">
        <v>108</v>
      </c>
      <c r="G32" s="23">
        <v>165477.20000000001</v>
      </c>
    </row>
    <row r="33" spans="1:9" ht="16.5">
      <c r="A33" s="19" t="s">
        <v>77</v>
      </c>
      <c r="B33" s="19">
        <v>114488.09</v>
      </c>
      <c r="C33" s="19">
        <v>119429.3</v>
      </c>
      <c r="D33" s="19">
        <v>0.96</v>
      </c>
      <c r="E33" s="23">
        <v>0.33800000000000002</v>
      </c>
      <c r="F33" s="23" t="s">
        <v>109</v>
      </c>
      <c r="G33" s="23">
        <v>348851.08</v>
      </c>
    </row>
    <row r="34" spans="1:9" ht="16.5">
      <c r="A34" s="19" t="s">
        <v>78</v>
      </c>
      <c r="B34" s="19">
        <v>-15999.84</v>
      </c>
      <c r="C34" s="19">
        <v>83694.070000000007</v>
      </c>
      <c r="D34" s="19">
        <v>-0.19</v>
      </c>
      <c r="E34" s="23">
        <v>0.84840000000000004</v>
      </c>
      <c r="F34" s="23" t="s">
        <v>110</v>
      </c>
      <c r="G34" s="23">
        <v>148237.91</v>
      </c>
    </row>
    <row r="35" spans="1:9" ht="16.5">
      <c r="A35" s="19" t="s">
        <v>79</v>
      </c>
      <c r="B35" s="19">
        <v>190579.27</v>
      </c>
      <c r="C35" s="19">
        <v>67681.600000000006</v>
      </c>
      <c r="D35" s="19">
        <v>2.82</v>
      </c>
      <c r="E35" s="24" t="s">
        <v>80</v>
      </c>
      <c r="F35" s="23">
        <v>57763.728000000003</v>
      </c>
      <c r="G35" s="23">
        <v>323394.81</v>
      </c>
    </row>
    <row r="36" spans="1:9" ht="16.5">
      <c r="A36" s="19" t="s">
        <v>81</v>
      </c>
      <c r="B36" s="19">
        <v>63023.118000000002</v>
      </c>
      <c r="C36" s="19">
        <v>63304.17</v>
      </c>
      <c r="D36" s="19">
        <v>1</v>
      </c>
      <c r="E36" s="23">
        <v>0.31969999999999998</v>
      </c>
      <c r="F36" s="23" t="s">
        <v>111</v>
      </c>
      <c r="G36" s="23">
        <v>187248.57</v>
      </c>
    </row>
    <row r="37" spans="1:9" ht="16.5">
      <c r="A37" s="19" t="s">
        <v>82</v>
      </c>
      <c r="B37" s="19">
        <v>75308.697</v>
      </c>
      <c r="C37" s="19">
        <v>60165.61</v>
      </c>
      <c r="D37" s="19">
        <v>1.25</v>
      </c>
      <c r="E37" s="23">
        <v>0.21099999999999999</v>
      </c>
      <c r="F37" s="23" t="s">
        <v>112</v>
      </c>
      <c r="G37" s="23">
        <v>193375.18</v>
      </c>
    </row>
    <row r="38" spans="1:9" ht="16.5">
      <c r="A38" s="19" t="s">
        <v>83</v>
      </c>
      <c r="B38" s="19">
        <v>459134.04</v>
      </c>
      <c r="C38" s="19">
        <v>71048.02</v>
      </c>
      <c r="D38" s="19">
        <v>6.46</v>
      </c>
      <c r="E38" s="24" t="s">
        <v>64</v>
      </c>
      <c r="F38" s="23">
        <v>319712.36</v>
      </c>
      <c r="G38" s="23">
        <v>598555.71</v>
      </c>
      <c r="I38">
        <v>1</v>
      </c>
    </row>
    <row r="39" spans="1:9" ht="16.5">
      <c r="A39" s="19" t="s">
        <v>84</v>
      </c>
      <c r="B39" s="19">
        <v>119361.09</v>
      </c>
      <c r="C39" s="19">
        <v>65066.43</v>
      </c>
      <c r="D39" s="19">
        <v>1.83</v>
      </c>
      <c r="E39" s="23">
        <v>6.6900000000000001E-2</v>
      </c>
      <c r="F39" s="23" t="s">
        <v>113</v>
      </c>
      <c r="G39" s="23">
        <v>247044.74</v>
      </c>
    </row>
    <row r="40" spans="1:9" ht="16.5">
      <c r="A40" s="19" t="s">
        <v>85</v>
      </c>
      <c r="B40" s="19">
        <v>258026.03</v>
      </c>
      <c r="C40" s="19">
        <v>61069.7</v>
      </c>
      <c r="D40" s="19">
        <v>4.2300000000000004</v>
      </c>
      <c r="E40" s="24" t="s">
        <v>64</v>
      </c>
      <c r="F40" s="23">
        <v>138185.4</v>
      </c>
      <c r="G40" s="23">
        <v>377866.65</v>
      </c>
      <c r="I40" t="s">
        <v>41</v>
      </c>
    </row>
    <row r="41" spans="1:9" ht="16.5">
      <c r="A41" s="19" t="s">
        <v>86</v>
      </c>
      <c r="B41" s="19">
        <v>328730.28999999998</v>
      </c>
      <c r="C41" s="19">
        <v>61098.48</v>
      </c>
      <c r="D41" s="19">
        <v>5.38</v>
      </c>
      <c r="E41" s="24" t="s">
        <v>64</v>
      </c>
      <c r="F41" s="23">
        <v>208833.18</v>
      </c>
      <c r="G41" s="23">
        <v>448627.4</v>
      </c>
      <c r="I41" t="s">
        <v>41</v>
      </c>
    </row>
    <row r="42" spans="1:9" ht="16.5">
      <c r="A42" s="19" t="s">
        <v>87</v>
      </c>
      <c r="B42" s="19">
        <v>263168.19</v>
      </c>
      <c r="C42" s="19">
        <v>60663.33</v>
      </c>
      <c r="D42" s="19">
        <v>4.34</v>
      </c>
      <c r="E42" s="24" t="s">
        <v>64</v>
      </c>
      <c r="F42" s="23">
        <v>144125.01</v>
      </c>
      <c r="G42" s="23">
        <v>382211.37</v>
      </c>
    </row>
    <row r="43" spans="1:9" ht="16.5">
      <c r="A43" s="19" t="s">
        <v>88</v>
      </c>
      <c r="B43" s="19">
        <v>45714.718000000001</v>
      </c>
      <c r="C43" s="19">
        <v>59677.42</v>
      </c>
      <c r="D43" s="19">
        <v>0.77</v>
      </c>
      <c r="E43" s="23">
        <v>0.44379999999999997</v>
      </c>
      <c r="F43" s="23" t="s">
        <v>114</v>
      </c>
      <c r="G43" s="23">
        <v>162823.20000000001</v>
      </c>
    </row>
    <row r="44" spans="1:9" ht="16.5">
      <c r="A44" s="19" t="s">
        <v>89</v>
      </c>
      <c r="B44" s="19">
        <v>186128.46</v>
      </c>
      <c r="C44" s="19">
        <v>60376.49</v>
      </c>
      <c r="D44" s="19">
        <v>3.08</v>
      </c>
      <c r="E44" s="24" t="s">
        <v>90</v>
      </c>
      <c r="F44" s="23">
        <v>67648.164000000004</v>
      </c>
      <c r="G44" s="23">
        <v>304608.77</v>
      </c>
    </row>
    <row r="45" spans="1:9" ht="16.5">
      <c r="A45" s="19" t="s">
        <v>91</v>
      </c>
      <c r="B45" s="19">
        <v>98560.876000000004</v>
      </c>
      <c r="C45" s="19">
        <v>60776.5</v>
      </c>
      <c r="D45" s="19">
        <v>1.62</v>
      </c>
      <c r="E45" s="23">
        <v>0.1052</v>
      </c>
      <c r="F45" s="23" t="s">
        <v>115</v>
      </c>
      <c r="G45" s="23">
        <v>217826.14</v>
      </c>
    </row>
    <row r="46" spans="1:9" ht="16.5">
      <c r="A46" s="19" t="s">
        <v>92</v>
      </c>
      <c r="B46" s="19">
        <v>90397.823999999993</v>
      </c>
      <c r="C46" s="19">
        <v>60197.45</v>
      </c>
      <c r="D46" s="19">
        <v>1.5</v>
      </c>
      <c r="E46" s="23">
        <v>0.13350000000000001</v>
      </c>
      <c r="F46" s="23" t="s">
        <v>116</v>
      </c>
      <c r="G46" s="23">
        <v>208526.79</v>
      </c>
    </row>
    <row r="47" spans="1:9" ht="16.5">
      <c r="A47" s="19" t="s">
        <v>93</v>
      </c>
      <c r="B47" s="19">
        <v>129609.28</v>
      </c>
      <c r="C47" s="19">
        <v>60295.12</v>
      </c>
      <c r="D47" s="19">
        <v>2.15</v>
      </c>
      <c r="E47" s="25" t="s">
        <v>94</v>
      </c>
      <c r="F47" s="23">
        <v>11288.656999999999</v>
      </c>
      <c r="G47" s="23">
        <v>247929.91</v>
      </c>
    </row>
    <row r="48" spans="1:9" ht="16.5">
      <c r="A48" s="19" t="s">
        <v>95</v>
      </c>
      <c r="B48" s="19">
        <v>36497.311999999998</v>
      </c>
      <c r="C48" s="19">
        <v>59863.55</v>
      </c>
      <c r="D48" s="19">
        <v>0.61</v>
      </c>
      <c r="E48" s="23">
        <v>0.54220000000000002</v>
      </c>
      <c r="F48" s="23" t="s">
        <v>117</v>
      </c>
      <c r="G48" s="23">
        <v>153971.04999999999</v>
      </c>
    </row>
    <row r="49" spans="1:7" ht="16.5">
      <c r="A49" s="19" t="s">
        <v>36</v>
      </c>
      <c r="B49" s="19">
        <v>137086.85</v>
      </c>
      <c r="C49" s="19">
        <v>64384.31</v>
      </c>
      <c r="D49" s="19">
        <v>2.13</v>
      </c>
      <c r="E49" s="25" t="s">
        <v>96</v>
      </c>
      <c r="F49" s="23">
        <v>10741.769</v>
      </c>
      <c r="G49" s="23">
        <v>263431.92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selection sqref="A1:H30"/>
    </sheetView>
  </sheetViews>
  <sheetFormatPr defaultColWidth="8.85546875" defaultRowHeight="15"/>
  <cols>
    <col min="1" max="1" width="17.7109375" customWidth="1"/>
    <col min="4" max="4" width="9.28515625" customWidth="1"/>
    <col min="5" max="5" width="8.7109375" customWidth="1"/>
    <col min="6" max="6" width="11.28515625" customWidth="1"/>
    <col min="7" max="7" width="12" customWidth="1"/>
  </cols>
  <sheetData>
    <row r="1" spans="1:11">
      <c r="A1" s="7" t="s">
        <v>33</v>
      </c>
    </row>
    <row r="3" spans="1:11">
      <c r="A3" t="s">
        <v>4</v>
      </c>
    </row>
    <row r="4" spans="1:11" ht="15.75" thickBot="1"/>
    <row r="5" spans="1:11">
      <c r="A5" s="3" t="s">
        <v>5</v>
      </c>
      <c r="B5" s="3"/>
    </row>
    <row r="6" spans="1:11">
      <c r="A6" t="s">
        <v>6</v>
      </c>
      <c r="B6" s="4">
        <f>SQRT(B7)</f>
        <v>0.91651513899116799</v>
      </c>
    </row>
    <row r="7" spans="1:11">
      <c r="A7" t="s">
        <v>7</v>
      </c>
      <c r="B7" s="4">
        <v>0.84</v>
      </c>
    </row>
    <row r="8" spans="1:11">
      <c r="A8" t="s">
        <v>8</v>
      </c>
      <c r="B8" s="4">
        <v>0.83499999999999996</v>
      </c>
    </row>
    <row r="9" spans="1:11">
      <c r="A9" t="s">
        <v>9</v>
      </c>
      <c r="B9" s="5">
        <v>102419</v>
      </c>
    </row>
    <row r="10" spans="1:11" ht="15.75" thickBot="1">
      <c r="A10" s="1" t="s">
        <v>10</v>
      </c>
      <c r="B10" s="1">
        <v>1021</v>
      </c>
    </row>
    <row r="12" spans="1:11" ht="15.75" thickBot="1">
      <c r="A12" t="s">
        <v>11</v>
      </c>
    </row>
    <row r="13" spans="1:11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  <c r="K13" t="s">
        <v>41</v>
      </c>
    </row>
    <row r="14" spans="1:11">
      <c r="A14" t="s">
        <v>12</v>
      </c>
      <c r="B14">
        <v>28</v>
      </c>
      <c r="C14" s="11">
        <v>54488000000000</v>
      </c>
      <c r="D14" s="11">
        <v>1946000000000</v>
      </c>
      <c r="E14">
        <v>185.51390000000001</v>
      </c>
      <c r="F14" s="4">
        <v>1.0071120803964518E-295</v>
      </c>
    </row>
    <row r="15" spans="1:11">
      <c r="A15" t="s">
        <v>13</v>
      </c>
      <c r="B15">
        <v>992</v>
      </c>
      <c r="C15" s="11">
        <v>10406000000000</v>
      </c>
      <c r="D15" s="11">
        <v>10490000000</v>
      </c>
    </row>
    <row r="16" spans="1:11" ht="15.75" thickBot="1">
      <c r="A16" s="1" t="s">
        <v>14</v>
      </c>
      <c r="B16" s="1">
        <v>1020</v>
      </c>
      <c r="C16" s="12">
        <v>64894000000000</v>
      </c>
      <c r="D16" s="1"/>
      <c r="E16" s="1"/>
      <c r="F16" s="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-93498.822249999997</v>
      </c>
      <c r="C19" s="5">
        <v>61366.947717000003</v>
      </c>
      <c r="D19" s="4">
        <v>-1.52</v>
      </c>
      <c r="E19" s="4">
        <v>0.12790000000000001</v>
      </c>
      <c r="F19" s="5">
        <v>-213922.75889999999</v>
      </c>
      <c r="G19" s="5">
        <v>26925.114356999999</v>
      </c>
    </row>
    <row r="20" spans="1:7">
      <c r="A20" t="s">
        <v>1</v>
      </c>
      <c r="B20" s="5">
        <v>-38084.751279999997</v>
      </c>
      <c r="C20" s="5">
        <v>5740.3271715000001</v>
      </c>
      <c r="D20" s="4">
        <v>-6.63</v>
      </c>
      <c r="E20" s="4">
        <v>0</v>
      </c>
      <c r="F20" s="5">
        <v>-49349.329709999998</v>
      </c>
      <c r="G20" s="5">
        <v>-26820.172849999999</v>
      </c>
    </row>
    <row r="21" spans="1:7">
      <c r="A21" t="s">
        <v>2</v>
      </c>
      <c r="B21" s="5">
        <v>29459.888867000001</v>
      </c>
      <c r="C21" s="5">
        <v>7135.5193944000002</v>
      </c>
      <c r="D21" s="4">
        <v>4.13</v>
      </c>
      <c r="E21" s="4">
        <v>0</v>
      </c>
      <c r="F21" s="5">
        <v>15457.443459</v>
      </c>
      <c r="G21" s="5">
        <v>43462.334274000001</v>
      </c>
    </row>
    <row r="22" spans="1:7">
      <c r="A22" t="s">
        <v>0</v>
      </c>
      <c r="B22" s="5">
        <v>151.02346188999999</v>
      </c>
      <c r="C22" s="5">
        <v>5.7545370336000001</v>
      </c>
      <c r="D22" s="4">
        <v>26.24</v>
      </c>
      <c r="E22" s="4">
        <v>0</v>
      </c>
      <c r="F22" s="5">
        <v>139.73099862000001</v>
      </c>
      <c r="G22" s="5">
        <v>162.31592516000001</v>
      </c>
    </row>
    <row r="23" spans="1:7">
      <c r="A23" t="s">
        <v>25</v>
      </c>
      <c r="B23" s="5">
        <v>-415.75900849999999</v>
      </c>
      <c r="C23" s="5">
        <v>180.22849228999999</v>
      </c>
      <c r="D23" s="4">
        <v>-2.31</v>
      </c>
      <c r="E23" s="4">
        <v>2.1299999999999999E-2</v>
      </c>
      <c r="F23" s="5">
        <v>-769.43187869999997</v>
      </c>
      <c r="G23" s="5">
        <v>-62.086138409999997</v>
      </c>
    </row>
    <row r="24" spans="1:7">
      <c r="A24" t="s">
        <v>34</v>
      </c>
      <c r="B24" s="5">
        <v>147425.49528</v>
      </c>
      <c r="C24" s="5">
        <v>118417.34385999999</v>
      </c>
      <c r="D24" s="4">
        <v>1.24</v>
      </c>
      <c r="E24" s="4">
        <v>0.21340000000000001</v>
      </c>
      <c r="F24" s="5">
        <v>-84951.757310000001</v>
      </c>
      <c r="G24" s="5">
        <v>379802.74786</v>
      </c>
    </row>
    <row r="25" spans="1:7">
      <c r="A25" t="s">
        <v>35</v>
      </c>
      <c r="B25" s="5">
        <v>54083.986442000001</v>
      </c>
      <c r="C25" s="5">
        <v>83691.410831999994</v>
      </c>
      <c r="D25" s="4">
        <v>0.65</v>
      </c>
      <c r="E25" s="4">
        <v>0.51829999999999998</v>
      </c>
      <c r="F25" s="5">
        <v>-110148.5447</v>
      </c>
      <c r="G25" s="5">
        <v>218316.51759999999</v>
      </c>
    </row>
    <row r="26" spans="1:7">
      <c r="A26" t="s">
        <v>37</v>
      </c>
      <c r="B26" s="13" t="s">
        <v>37</v>
      </c>
      <c r="C26" s="13" t="s">
        <v>37</v>
      </c>
      <c r="D26" s="14" t="s">
        <v>37</v>
      </c>
      <c r="E26" s="14" t="s">
        <v>37</v>
      </c>
      <c r="F26" s="13" t="s">
        <v>37</v>
      </c>
      <c r="G26" s="13" t="s">
        <v>37</v>
      </c>
    </row>
    <row r="27" spans="1:7" ht="15.75" thickBot="1">
      <c r="A27" s="1" t="s">
        <v>36</v>
      </c>
      <c r="B27" s="10">
        <v>137086.84703999999</v>
      </c>
      <c r="C27" s="10">
        <v>64384.307614999998</v>
      </c>
      <c r="D27" s="6">
        <v>2.13</v>
      </c>
      <c r="E27" s="6">
        <v>3.3500000000000002E-2</v>
      </c>
      <c r="F27" s="10">
        <v>10741.769313000001</v>
      </c>
      <c r="G27" s="10">
        <v>263431.92476000002</v>
      </c>
    </row>
    <row r="28" spans="1:7">
      <c r="A28" t="s">
        <v>38</v>
      </c>
    </row>
    <row r="30" spans="1:7">
      <c r="A30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activeCell="A31" sqref="A31"/>
    </sheetView>
  </sheetViews>
  <sheetFormatPr defaultColWidth="8.85546875" defaultRowHeight="15"/>
  <cols>
    <col min="1" max="1" width="18" bestFit="1" customWidth="1"/>
    <col min="2" max="2" width="10.7109375" customWidth="1"/>
    <col min="3" max="3" width="9.7109375" customWidth="1"/>
    <col min="6" max="7" width="11.42578125" customWidth="1"/>
  </cols>
  <sheetData>
    <row r="1" spans="1:6">
      <c r="A1" s="7" t="s">
        <v>40</v>
      </c>
    </row>
    <row r="3" spans="1:6">
      <c r="A3" t="s">
        <v>4</v>
      </c>
    </row>
    <row r="4" spans="1:6" ht="15.75" thickBot="1"/>
    <row r="5" spans="1:6">
      <c r="A5" s="3" t="s">
        <v>5</v>
      </c>
      <c r="B5" s="3"/>
    </row>
    <row r="6" spans="1:6">
      <c r="A6" t="s">
        <v>6</v>
      </c>
      <c r="B6" s="4">
        <v>0.86060120589274902</v>
      </c>
    </row>
    <row r="7" spans="1:6">
      <c r="A7" t="s">
        <v>7</v>
      </c>
      <c r="B7" s="4">
        <v>0.74063443558405373</v>
      </c>
    </row>
    <row r="8" spans="1:6">
      <c r="A8" t="s">
        <v>8</v>
      </c>
      <c r="B8" s="4">
        <v>0.73935677270515754</v>
      </c>
    </row>
    <row r="9" spans="1:6">
      <c r="A9" t="s">
        <v>9</v>
      </c>
      <c r="B9" s="5">
        <v>128772.71335557521</v>
      </c>
    </row>
    <row r="10" spans="1:6" ht="15.75" thickBot="1">
      <c r="A10" s="1" t="s">
        <v>10</v>
      </c>
      <c r="B10" s="1">
        <v>1021</v>
      </c>
    </row>
    <row r="12" spans="1:6" ht="15.75" thickBot="1">
      <c r="A12" t="s">
        <v>11</v>
      </c>
    </row>
    <row r="13" spans="1:6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</row>
    <row r="14" spans="1:6">
      <c r="A14" t="s">
        <v>12</v>
      </c>
      <c r="B14">
        <v>5</v>
      </c>
      <c r="C14">
        <v>48062385377951.781</v>
      </c>
      <c r="D14">
        <v>9612477075590.3555</v>
      </c>
      <c r="E14">
        <v>579.67907483064164</v>
      </c>
      <c r="F14">
        <v>2.0020482551166092E-294</v>
      </c>
    </row>
    <row r="15" spans="1:6">
      <c r="A15" t="s">
        <v>13</v>
      </c>
      <c r="B15">
        <v>1015</v>
      </c>
      <c r="C15">
        <v>16831147880531.494</v>
      </c>
      <c r="D15">
        <v>16582411704.957136</v>
      </c>
    </row>
    <row r="16" spans="1:6" ht="15.75" thickBot="1">
      <c r="A16" s="1" t="s">
        <v>14</v>
      </c>
      <c r="B16" s="1">
        <v>1020</v>
      </c>
      <c r="C16" s="1">
        <v>64893533258483.273</v>
      </c>
      <c r="D16" s="1"/>
      <c r="E16" s="1"/>
      <c r="F16" s="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4940807.3836034294</v>
      </c>
      <c r="C19" s="5">
        <v>5883305.0265073618</v>
      </c>
      <c r="D19" s="4">
        <v>0.839801329583034</v>
      </c>
      <c r="E19" s="4">
        <v>0.40121754969822665</v>
      </c>
      <c r="F19" s="5">
        <v>-6604025.2484393418</v>
      </c>
      <c r="G19" s="5">
        <v>16485640.015646201</v>
      </c>
    </row>
    <row r="20" spans="1:7">
      <c r="A20" t="s">
        <v>1</v>
      </c>
      <c r="B20" s="5">
        <v>-49457.969913180212</v>
      </c>
      <c r="C20" s="5">
        <v>7020.7318452809541</v>
      </c>
      <c r="D20" s="4">
        <v>-7.044560453683161</v>
      </c>
      <c r="E20" s="4">
        <v>3.4280701212606097E-12</v>
      </c>
      <c r="F20" s="5">
        <v>-63234.779672836485</v>
      </c>
      <c r="G20" s="5">
        <v>-35681.160153523939</v>
      </c>
    </row>
    <row r="21" spans="1:7">
      <c r="A21" t="s">
        <v>2</v>
      </c>
      <c r="B21" s="5">
        <v>54905.206693608292</v>
      </c>
      <c r="C21" s="5">
        <v>8739.9166136661352</v>
      </c>
      <c r="D21" s="4">
        <v>6.2821201986934279</v>
      </c>
      <c r="E21" s="4">
        <v>4.946862263645187E-10</v>
      </c>
      <c r="F21" s="5">
        <v>37754.833889856927</v>
      </c>
      <c r="G21" s="5">
        <v>72055.579497359664</v>
      </c>
    </row>
    <row r="22" spans="1:7">
      <c r="A22" t="s">
        <v>0</v>
      </c>
      <c r="B22" s="5">
        <v>169.2282591420558</v>
      </c>
      <c r="C22" s="5">
        <v>6.8314677640637065</v>
      </c>
      <c r="D22" s="4">
        <v>24.77187406669254</v>
      </c>
      <c r="E22" s="4">
        <v>2.451056319708292E-106</v>
      </c>
      <c r="F22" s="5">
        <v>155.8228430346181</v>
      </c>
      <c r="G22" s="5">
        <v>182.63367524949351</v>
      </c>
    </row>
    <row r="23" spans="1:7">
      <c r="A23" t="s">
        <v>25</v>
      </c>
      <c r="B23" s="5">
        <v>1510.987295815383</v>
      </c>
      <c r="C23" s="5">
        <v>188.64285731024037</v>
      </c>
      <c r="D23" s="4">
        <v>8.0097774035007685</v>
      </c>
      <c r="E23" s="4">
        <v>3.1345174784933088E-15</v>
      </c>
      <c r="F23" s="5">
        <v>1140.8126737169709</v>
      </c>
      <c r="G23" s="5">
        <v>1881.1619179137952</v>
      </c>
    </row>
    <row r="24" spans="1:7" ht="15.75" thickBot="1">
      <c r="A24" s="1" t="s">
        <v>3</v>
      </c>
      <c r="B24" s="10">
        <v>-182.32429681330748</v>
      </c>
      <c r="C24" s="10">
        <v>213.0626285872562</v>
      </c>
      <c r="D24" s="6">
        <v>-0.85573100276775971</v>
      </c>
      <c r="E24" s="6">
        <v>0.392348545669157</v>
      </c>
      <c r="F24" s="10">
        <v>-600.41793229547352</v>
      </c>
      <c r="G24" s="10">
        <v>235.76933866885858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5:L62"/>
  <sheetViews>
    <sheetView workbookViewId="0">
      <selection activeCell="F62" sqref="F62:G62"/>
    </sheetView>
  </sheetViews>
  <sheetFormatPr defaultRowHeight="15"/>
  <cols>
    <col min="9" max="9" width="16.140625" customWidth="1"/>
    <col min="10" max="10" width="13.85546875" customWidth="1"/>
    <col min="11" max="11" width="14" customWidth="1"/>
    <col min="12" max="12" width="14.140625" customWidth="1"/>
  </cols>
  <sheetData>
    <row r="5" spans="1:2">
      <c r="A5" t="s">
        <v>48</v>
      </c>
    </row>
    <row r="8" spans="1:2">
      <c r="A8" t="s">
        <v>49</v>
      </c>
      <c r="B8">
        <v>0.83987599999999996</v>
      </c>
    </row>
    <row r="9" spans="1:2">
      <c r="A9" t="s">
        <v>50</v>
      </c>
      <c r="B9">
        <v>0.83485699999999996</v>
      </c>
    </row>
    <row r="10" spans="1:2">
      <c r="A10" t="s">
        <v>51</v>
      </c>
      <c r="B10">
        <v>102501.5</v>
      </c>
    </row>
    <row r="11" spans="1:2">
      <c r="A11" t="s">
        <v>52</v>
      </c>
      <c r="B11">
        <v>352861.6</v>
      </c>
    </row>
    <row r="12" spans="1:2">
      <c r="A12" t="s">
        <v>53</v>
      </c>
      <c r="B12">
        <v>1021</v>
      </c>
    </row>
    <row r="18" spans="1:12">
      <c r="A18" t="s">
        <v>54</v>
      </c>
    </row>
    <row r="19" spans="1:12">
      <c r="C19" s="11"/>
      <c r="D19" s="11"/>
      <c r="K19" t="s">
        <v>41</v>
      </c>
    </row>
    <row r="20" spans="1:12">
      <c r="A20" t="s">
        <v>55</v>
      </c>
      <c r="B20" t="s">
        <v>56</v>
      </c>
      <c r="C20" s="11" t="s">
        <v>57</v>
      </c>
      <c r="D20" s="11" t="s">
        <v>58</v>
      </c>
      <c r="E20" t="s">
        <v>59</v>
      </c>
    </row>
    <row r="21" spans="1:12">
      <c r="A21" t="s">
        <v>60</v>
      </c>
      <c r="B21">
        <v>31</v>
      </c>
      <c r="C21" s="11">
        <v>54503000000000</v>
      </c>
      <c r="D21" s="11">
        <v>1758000000000</v>
      </c>
      <c r="E21">
        <v>167.3381</v>
      </c>
    </row>
    <row r="22" spans="1:12">
      <c r="A22" t="s">
        <v>61</v>
      </c>
      <c r="B22">
        <v>989</v>
      </c>
      <c r="C22" s="11">
        <v>10391000000000</v>
      </c>
      <c r="D22" s="11">
        <v>10510000000</v>
      </c>
      <c r="F22" t="s">
        <v>62</v>
      </c>
    </row>
    <row r="23" spans="1:12">
      <c r="A23" t="s">
        <v>63</v>
      </c>
      <c r="B23">
        <v>1020</v>
      </c>
      <c r="C23" s="11">
        <v>64894000000000</v>
      </c>
      <c r="E23" t="s">
        <v>122</v>
      </c>
    </row>
    <row r="26" spans="1:12">
      <c r="I26" t="s">
        <v>41</v>
      </c>
    </row>
    <row r="28" spans="1:12">
      <c r="A28" t="s">
        <v>65</v>
      </c>
    </row>
    <row r="30" spans="1:12" ht="16.5">
      <c r="A30" t="s">
        <v>66</v>
      </c>
      <c r="B30" t="s">
        <v>67</v>
      </c>
      <c r="C30" t="s">
        <v>68</v>
      </c>
      <c r="D30" t="s">
        <v>69</v>
      </c>
      <c r="E30" t="s">
        <v>70</v>
      </c>
      <c r="F30" t="s">
        <v>22</v>
      </c>
      <c r="G30" t="s">
        <v>23</v>
      </c>
      <c r="I30" s="20" t="s">
        <v>118</v>
      </c>
      <c r="J30" s="20" t="s">
        <v>119</v>
      </c>
      <c r="K30" s="20" t="s">
        <v>120</v>
      </c>
      <c r="L30" s="20" t="s">
        <v>121</v>
      </c>
    </row>
    <row r="31" spans="1:12">
      <c r="A31" t="s">
        <v>15</v>
      </c>
      <c r="B31">
        <v>-179212.1</v>
      </c>
      <c r="C31">
        <v>103647.1</v>
      </c>
      <c r="D31">
        <v>-1.73</v>
      </c>
      <c r="E31">
        <v>8.4099999999999994E-2</v>
      </c>
      <c r="F31">
        <v>-382605.6</v>
      </c>
      <c r="G31">
        <v>24181.482</v>
      </c>
      <c r="I31">
        <v>1</v>
      </c>
      <c r="J31">
        <f>SUMPRODUCT(B31:B62,I31:I62)</f>
        <v>692272.59638999996</v>
      </c>
      <c r="K31">
        <f>J31-B10*_xlfn.T.INV(0.975,1021-31-1)</f>
        <v>491127.18609169149</v>
      </c>
      <c r="L31">
        <f>J31+B10*_xlfn.T.INV(0.975,1021-31-1)</f>
        <v>893418.00668830844</v>
      </c>
    </row>
    <row r="32" spans="1:12">
      <c r="A32" t="s">
        <v>0</v>
      </c>
      <c r="B32">
        <v>152.33368999999999</v>
      </c>
      <c r="C32">
        <v>6.279814</v>
      </c>
      <c r="D32">
        <v>24.26</v>
      </c>
      <c r="E32" t="s">
        <v>122</v>
      </c>
      <c r="F32">
        <v>140.0104</v>
      </c>
      <c r="G32">
        <v>164.65698</v>
      </c>
      <c r="I32">
        <v>2851</v>
      </c>
    </row>
    <row r="33" spans="1:9">
      <c r="A33" t="s">
        <v>2</v>
      </c>
      <c r="B33">
        <v>29104.383999999998</v>
      </c>
      <c r="C33">
        <v>7190.5860000000002</v>
      </c>
      <c r="D33">
        <v>4.05</v>
      </c>
      <c r="E33" t="s">
        <v>122</v>
      </c>
      <c r="F33">
        <v>14993.825999999999</v>
      </c>
      <c r="G33">
        <v>43214.942999999999</v>
      </c>
      <c r="I33">
        <v>3</v>
      </c>
    </row>
    <row r="34" spans="1:9">
      <c r="A34" t="s">
        <v>1</v>
      </c>
      <c r="B34">
        <v>-38307.99</v>
      </c>
      <c r="C34">
        <v>5755.1390000000001</v>
      </c>
      <c r="D34">
        <v>-6.66</v>
      </c>
      <c r="E34" t="s">
        <v>122</v>
      </c>
      <c r="F34">
        <v>-49601.68</v>
      </c>
      <c r="G34">
        <v>-27014.3</v>
      </c>
      <c r="I34">
        <v>4</v>
      </c>
    </row>
    <row r="35" spans="1:9">
      <c r="A35" t="s">
        <v>25</v>
      </c>
      <c r="B35">
        <v>-453.87459999999999</v>
      </c>
      <c r="C35">
        <v>197.03970000000001</v>
      </c>
      <c r="D35">
        <v>-2.2999999999999998</v>
      </c>
      <c r="E35">
        <v>2.1499999999999998E-2</v>
      </c>
      <c r="F35">
        <v>-840.5385</v>
      </c>
      <c r="G35">
        <v>-67.210589999999996</v>
      </c>
      <c r="I35">
        <v>88</v>
      </c>
    </row>
    <row r="36" spans="1:9">
      <c r="A36" t="s">
        <v>123</v>
      </c>
      <c r="B36">
        <v>-1473.317</v>
      </c>
      <c r="C36">
        <v>6748.0659999999998</v>
      </c>
      <c r="D36">
        <v>-0.22</v>
      </c>
      <c r="E36">
        <v>0.82720000000000005</v>
      </c>
      <c r="F36">
        <v>-14715.49</v>
      </c>
      <c r="G36">
        <v>11768.856</v>
      </c>
      <c r="I36">
        <v>2</v>
      </c>
    </row>
    <row r="37" spans="1:9">
      <c r="A37" t="s">
        <v>124</v>
      </c>
      <c r="B37">
        <v>-2265.9569999999999</v>
      </c>
      <c r="C37">
        <v>13189.41</v>
      </c>
      <c r="D37">
        <v>-0.17</v>
      </c>
      <c r="E37">
        <v>0.86360000000000003</v>
      </c>
      <c r="F37">
        <v>-28148.41</v>
      </c>
      <c r="G37">
        <v>23616.495999999999</v>
      </c>
      <c r="I37">
        <v>1</v>
      </c>
    </row>
    <row r="38" spans="1:9">
      <c r="A38" t="s">
        <v>125</v>
      </c>
      <c r="B38">
        <v>236532.98</v>
      </c>
      <c r="C38">
        <v>145317.79999999999</v>
      </c>
      <c r="D38">
        <v>1.63</v>
      </c>
      <c r="E38">
        <v>0.10390000000000001</v>
      </c>
      <c r="F38">
        <v>-48633.7</v>
      </c>
      <c r="G38">
        <v>521699.66</v>
      </c>
    </row>
    <row r="39" spans="1:9">
      <c r="A39" t="s">
        <v>126</v>
      </c>
      <c r="B39">
        <v>143103.44</v>
      </c>
      <c r="C39">
        <v>118447.2</v>
      </c>
      <c r="D39">
        <v>1.21</v>
      </c>
      <c r="E39">
        <v>0.2273</v>
      </c>
      <c r="F39">
        <v>-89333.29</v>
      </c>
      <c r="G39">
        <v>375540.18</v>
      </c>
      <c r="I39" t="s">
        <v>41</v>
      </c>
    </row>
    <row r="40" spans="1:9">
      <c r="A40" t="s">
        <v>127</v>
      </c>
      <c r="B40">
        <v>105484.06</v>
      </c>
      <c r="C40">
        <v>109761.4</v>
      </c>
      <c r="D40">
        <v>0.96</v>
      </c>
      <c r="E40">
        <v>0.33679999999999999</v>
      </c>
      <c r="F40">
        <v>-109908</v>
      </c>
      <c r="G40">
        <v>320876.09000000003</v>
      </c>
      <c r="I40" t="s">
        <v>41</v>
      </c>
    </row>
    <row r="41" spans="1:9">
      <c r="A41" t="s">
        <v>128</v>
      </c>
      <c r="B41">
        <v>221663.72</v>
      </c>
      <c r="C41">
        <v>118753.60000000001</v>
      </c>
      <c r="D41">
        <v>1.87</v>
      </c>
      <c r="E41">
        <v>6.2300000000000001E-2</v>
      </c>
      <c r="F41">
        <v>-11374.2</v>
      </c>
      <c r="G41">
        <v>454701.65</v>
      </c>
      <c r="I41" t="s">
        <v>41</v>
      </c>
    </row>
    <row r="42" spans="1:9">
      <c r="A42" t="s">
        <v>129</v>
      </c>
      <c r="B42">
        <v>90668.422999999995</v>
      </c>
      <c r="C42">
        <v>125932.6</v>
      </c>
      <c r="D42">
        <v>0.72</v>
      </c>
      <c r="E42">
        <v>0.47170000000000001</v>
      </c>
      <c r="F42">
        <v>-156457.4</v>
      </c>
      <c r="G42">
        <v>337794.28</v>
      </c>
    </row>
    <row r="43" spans="1:9">
      <c r="A43" t="s">
        <v>130</v>
      </c>
      <c r="B43">
        <v>104785.28</v>
      </c>
      <c r="C43">
        <v>114826.1</v>
      </c>
      <c r="D43">
        <v>0.91</v>
      </c>
      <c r="E43">
        <v>0.36170000000000002</v>
      </c>
      <c r="F43">
        <v>-120545.4</v>
      </c>
      <c r="G43">
        <v>330115.98</v>
      </c>
    </row>
    <row r="44" spans="1:9">
      <c r="A44" t="s">
        <v>131</v>
      </c>
      <c r="B44">
        <v>71225.077999999994</v>
      </c>
      <c r="C44">
        <v>125807.9</v>
      </c>
      <c r="D44">
        <v>0.56999999999999995</v>
      </c>
      <c r="E44">
        <v>0.57140000000000002</v>
      </c>
      <c r="F44">
        <v>-175656.1</v>
      </c>
      <c r="G44">
        <v>318106.23</v>
      </c>
    </row>
    <row r="45" spans="1:9">
      <c r="A45" t="s">
        <v>132</v>
      </c>
      <c r="B45">
        <v>201381.3</v>
      </c>
      <c r="C45">
        <v>145678.1</v>
      </c>
      <c r="D45">
        <v>1.38</v>
      </c>
      <c r="E45">
        <v>0.16719999999999999</v>
      </c>
      <c r="F45">
        <v>-84492.47</v>
      </c>
      <c r="G45">
        <v>487255.06</v>
      </c>
    </row>
    <row r="46" spans="1:9">
      <c r="A46" t="s">
        <v>133</v>
      </c>
      <c r="B46">
        <v>72944.032000000007</v>
      </c>
      <c r="C46">
        <v>118486.1</v>
      </c>
      <c r="D46">
        <v>0.62</v>
      </c>
      <c r="E46">
        <v>0.5383</v>
      </c>
      <c r="F46">
        <v>-159569.1</v>
      </c>
      <c r="G46">
        <v>305457.15999999997</v>
      </c>
    </row>
    <row r="47" spans="1:9">
      <c r="A47" t="s">
        <v>134</v>
      </c>
      <c r="B47">
        <v>279057.62</v>
      </c>
      <c r="C47">
        <v>107750.8</v>
      </c>
      <c r="D47">
        <v>2.59</v>
      </c>
      <c r="E47">
        <v>9.7000000000000003E-3</v>
      </c>
      <c r="F47">
        <v>67611.145000000004</v>
      </c>
      <c r="G47">
        <v>490504.09</v>
      </c>
    </row>
    <row r="48" spans="1:9">
      <c r="A48" t="s">
        <v>135</v>
      </c>
      <c r="B48">
        <v>151416.63</v>
      </c>
      <c r="C48">
        <v>105114.5</v>
      </c>
      <c r="D48">
        <v>1.44</v>
      </c>
      <c r="E48">
        <v>0.15</v>
      </c>
      <c r="F48">
        <v>-54856.480000000003</v>
      </c>
      <c r="G48">
        <v>357689.74</v>
      </c>
    </row>
    <row r="49" spans="1:9">
      <c r="A49" t="s">
        <v>136</v>
      </c>
      <c r="B49">
        <v>163797.41</v>
      </c>
      <c r="C49">
        <v>103225</v>
      </c>
      <c r="D49">
        <v>1.59</v>
      </c>
      <c r="E49">
        <v>0.1129</v>
      </c>
      <c r="F49">
        <v>-38767.75</v>
      </c>
      <c r="G49">
        <v>366362.56</v>
      </c>
    </row>
    <row r="50" spans="1:9">
      <c r="A50" t="s">
        <v>137</v>
      </c>
      <c r="B50">
        <v>548253.71</v>
      </c>
      <c r="C50">
        <v>110018.2</v>
      </c>
      <c r="D50">
        <v>4.9800000000000004</v>
      </c>
      <c r="E50" t="s">
        <v>122</v>
      </c>
      <c r="F50">
        <v>332357.78999999998</v>
      </c>
      <c r="G50">
        <v>764149.63</v>
      </c>
      <c r="I50">
        <v>1</v>
      </c>
    </row>
    <row r="51" spans="1:9">
      <c r="A51" t="s">
        <v>138</v>
      </c>
      <c r="B51">
        <v>207764.54</v>
      </c>
      <c r="C51">
        <v>106185</v>
      </c>
      <c r="D51">
        <v>1.96</v>
      </c>
      <c r="E51">
        <v>5.0700000000000002E-2</v>
      </c>
      <c r="F51">
        <v>-609.26130000000001</v>
      </c>
      <c r="G51">
        <v>416138.33</v>
      </c>
    </row>
    <row r="52" spans="1:9">
      <c r="A52" t="s">
        <v>139</v>
      </c>
      <c r="B52">
        <v>346337.65</v>
      </c>
      <c r="C52">
        <v>103685.7</v>
      </c>
      <c r="D52">
        <v>3.34</v>
      </c>
      <c r="E52">
        <v>8.9999999999999998E-4</v>
      </c>
      <c r="F52">
        <v>142868.32999999999</v>
      </c>
      <c r="G52">
        <v>549806.96</v>
      </c>
    </row>
    <row r="53" spans="1:9">
      <c r="A53" t="s">
        <v>140</v>
      </c>
      <c r="B53">
        <v>416090.31</v>
      </c>
      <c r="C53">
        <v>103775</v>
      </c>
      <c r="D53">
        <v>4.01</v>
      </c>
      <c r="E53" t="s">
        <v>122</v>
      </c>
      <c r="F53">
        <v>212445.77</v>
      </c>
      <c r="G53">
        <v>619734.85</v>
      </c>
    </row>
    <row r="54" spans="1:9">
      <c r="A54" t="s">
        <v>141</v>
      </c>
      <c r="B54">
        <v>350790.5</v>
      </c>
      <c r="C54">
        <v>103550.1</v>
      </c>
      <c r="D54">
        <v>3.39</v>
      </c>
      <c r="E54">
        <v>6.9999999999999999E-4</v>
      </c>
      <c r="F54">
        <v>147587.26999999999</v>
      </c>
      <c r="G54">
        <v>553993.73</v>
      </c>
    </row>
    <row r="55" spans="1:9">
      <c r="A55" t="s">
        <v>142</v>
      </c>
      <c r="B55">
        <v>134656.49</v>
      </c>
      <c r="C55">
        <v>102958.3</v>
      </c>
      <c r="D55">
        <v>1.31</v>
      </c>
      <c r="E55">
        <v>0.19120000000000001</v>
      </c>
      <c r="F55">
        <v>-67385.27</v>
      </c>
      <c r="G55">
        <v>336698.26</v>
      </c>
    </row>
    <row r="56" spans="1:9">
      <c r="A56" t="s">
        <v>143</v>
      </c>
      <c r="B56">
        <v>275128.03999999998</v>
      </c>
      <c r="C56">
        <v>103299.2</v>
      </c>
      <c r="D56">
        <v>2.66</v>
      </c>
      <c r="E56">
        <v>7.9000000000000008E-3</v>
      </c>
      <c r="F56">
        <v>72417.284</v>
      </c>
      <c r="G56">
        <v>477838.79</v>
      </c>
    </row>
    <row r="57" spans="1:9">
      <c r="A57" t="s">
        <v>144</v>
      </c>
      <c r="B57">
        <v>187569.23</v>
      </c>
      <c r="C57">
        <v>103527.5</v>
      </c>
      <c r="D57">
        <v>1.81</v>
      </c>
      <c r="E57">
        <v>7.0300000000000001E-2</v>
      </c>
      <c r="F57">
        <v>-15589.47</v>
      </c>
      <c r="G57">
        <v>390727.93</v>
      </c>
    </row>
    <row r="58" spans="1:9">
      <c r="A58" t="s">
        <v>145</v>
      </c>
      <c r="B58">
        <v>179316</v>
      </c>
      <c r="C58">
        <v>103221.7</v>
      </c>
      <c r="D58">
        <v>1.74</v>
      </c>
      <c r="E58">
        <v>8.2699999999999996E-2</v>
      </c>
      <c r="F58">
        <v>-23242.78</v>
      </c>
      <c r="G58">
        <v>381874.78</v>
      </c>
    </row>
    <row r="59" spans="1:9">
      <c r="A59" t="s">
        <v>146</v>
      </c>
      <c r="B59">
        <v>218253.04</v>
      </c>
      <c r="C59">
        <v>103253.9</v>
      </c>
      <c r="D59">
        <v>2.11</v>
      </c>
      <c r="E59">
        <v>3.4799999999999998E-2</v>
      </c>
      <c r="F59">
        <v>15631.141</v>
      </c>
      <c r="G59">
        <v>420874.94</v>
      </c>
    </row>
    <row r="60" spans="1:9">
      <c r="A60" t="s">
        <v>147</v>
      </c>
      <c r="B60">
        <v>125491.14</v>
      </c>
      <c r="C60">
        <v>103047.7</v>
      </c>
      <c r="D60">
        <v>1.22</v>
      </c>
      <c r="E60">
        <v>0.22359999999999999</v>
      </c>
      <c r="F60">
        <v>-76726.100000000006</v>
      </c>
      <c r="G60">
        <v>327708.38</v>
      </c>
    </row>
    <row r="61" spans="1:9">
      <c r="A61" t="s">
        <v>148</v>
      </c>
      <c r="B61">
        <v>225848.76</v>
      </c>
      <c r="C61">
        <v>105616.4</v>
      </c>
      <c r="D61">
        <v>2.14</v>
      </c>
      <c r="E61">
        <v>3.27E-2</v>
      </c>
      <c r="F61">
        <v>18590.829000000002</v>
      </c>
      <c r="G61">
        <v>433106.7</v>
      </c>
    </row>
    <row r="62" spans="1:9">
      <c r="A62" t="s">
        <v>149</v>
      </c>
      <c r="B62">
        <v>134705.19</v>
      </c>
      <c r="C62">
        <v>125724.2</v>
      </c>
      <c r="D62">
        <v>1.07</v>
      </c>
      <c r="E62">
        <v>0.28420000000000001</v>
      </c>
      <c r="F62">
        <v>-112011.6</v>
      </c>
      <c r="G62">
        <v>381421.98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selection activeCell="H21" sqref="H21"/>
    </sheetView>
  </sheetViews>
  <sheetFormatPr defaultRowHeight="15"/>
  <cols>
    <col min="2" max="2" width="10.140625" bestFit="1" customWidth="1"/>
  </cols>
  <sheetData>
    <row r="1" spans="1:13">
      <c r="A1" s="7" t="s">
        <v>150</v>
      </c>
    </row>
    <row r="3" spans="1:13">
      <c r="A3" t="s">
        <v>4</v>
      </c>
    </row>
    <row r="4" spans="1:13" ht="15.75" thickBot="1"/>
    <row r="5" spans="1:13">
      <c r="A5" s="3" t="s">
        <v>5</v>
      </c>
      <c r="B5" s="3"/>
    </row>
    <row r="6" spans="1:13">
      <c r="A6" t="s">
        <v>6</v>
      </c>
      <c r="B6" s="4">
        <f>SQRT(B7)</f>
        <v>0.91644748894849393</v>
      </c>
    </row>
    <row r="7" spans="1:13">
      <c r="A7" t="s">
        <v>7</v>
      </c>
      <c r="B7" s="4">
        <v>0.83987599999999996</v>
      </c>
    </row>
    <row r="8" spans="1:13">
      <c r="A8" t="s">
        <v>8</v>
      </c>
      <c r="B8" s="4">
        <v>0.83485699999999996</v>
      </c>
    </row>
    <row r="9" spans="1:13">
      <c r="A9" t="s">
        <v>9</v>
      </c>
      <c r="B9" s="5">
        <v>102501.5</v>
      </c>
    </row>
    <row r="10" spans="1:13" ht="15.75" thickBot="1">
      <c r="A10" s="1" t="s">
        <v>10</v>
      </c>
      <c r="B10" s="1">
        <v>1021</v>
      </c>
    </row>
    <row r="12" spans="1:13" ht="15.75" thickBot="1">
      <c r="A12" t="s">
        <v>11</v>
      </c>
    </row>
    <row r="13" spans="1:13">
      <c r="A13" s="2"/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26</v>
      </c>
      <c r="L13" s="11"/>
      <c r="M13" s="11"/>
    </row>
    <row r="14" spans="1:13">
      <c r="A14" t="s">
        <v>12</v>
      </c>
      <c r="B14">
        <v>31</v>
      </c>
      <c r="C14" s="11">
        <v>54503000000000</v>
      </c>
      <c r="D14" s="11">
        <v>1758000000000</v>
      </c>
      <c r="E14">
        <v>167.3381</v>
      </c>
      <c r="F14" s="4">
        <v>1.0071120803964518E-295</v>
      </c>
      <c r="L14" s="11"/>
      <c r="M14" s="11"/>
    </row>
    <row r="15" spans="1:13">
      <c r="A15" t="s">
        <v>13</v>
      </c>
      <c r="B15">
        <v>989</v>
      </c>
      <c r="C15" s="11">
        <v>10391000000000</v>
      </c>
      <c r="D15" s="11">
        <v>10510000000</v>
      </c>
      <c r="L15" s="11"/>
      <c r="M15" s="11"/>
    </row>
    <row r="16" spans="1:13" ht="15.75" thickBot="1">
      <c r="A16" s="1" t="s">
        <v>14</v>
      </c>
      <c r="B16" s="1">
        <v>1020</v>
      </c>
      <c r="C16" s="12">
        <v>64894000000000</v>
      </c>
      <c r="D16" s="1"/>
      <c r="E16" s="1"/>
      <c r="F16" s="1"/>
      <c r="L16" s="11"/>
    </row>
    <row r="17" spans="1:7" ht="15.75" thickBot="1"/>
    <row r="18" spans="1:7">
      <c r="A18" s="2"/>
      <c r="B18" s="2" t="s">
        <v>27</v>
      </c>
      <c r="C18" s="2" t="s">
        <v>28</v>
      </c>
      <c r="D18" s="2" t="s">
        <v>20</v>
      </c>
      <c r="E18" s="2" t="s">
        <v>21</v>
      </c>
      <c r="F18" s="2" t="s">
        <v>22</v>
      </c>
      <c r="G18" s="2" t="s">
        <v>23</v>
      </c>
    </row>
    <row r="19" spans="1:7">
      <c r="A19" t="s">
        <v>15</v>
      </c>
      <c r="B19" s="5">
        <v>-179212.1</v>
      </c>
      <c r="C19" s="5">
        <v>103647.1</v>
      </c>
      <c r="D19">
        <v>-1.73</v>
      </c>
      <c r="E19" s="4">
        <v>8.4099999999999994E-2</v>
      </c>
      <c r="F19" s="5">
        <v>-382605.6</v>
      </c>
      <c r="G19" s="5">
        <v>24181.482</v>
      </c>
    </row>
    <row r="20" spans="1:7">
      <c r="A20" t="s">
        <v>0</v>
      </c>
      <c r="B20" s="5">
        <v>152.33368999999999</v>
      </c>
      <c r="C20" s="5">
        <v>6.279814</v>
      </c>
      <c r="D20">
        <v>24.26</v>
      </c>
      <c r="E20" s="4">
        <v>0</v>
      </c>
      <c r="F20" s="5">
        <v>140.0104</v>
      </c>
      <c r="G20" s="5">
        <v>164.65698</v>
      </c>
    </row>
    <row r="21" spans="1:7">
      <c r="A21" t="s">
        <v>2</v>
      </c>
      <c r="B21" s="5">
        <v>29104.383999999998</v>
      </c>
      <c r="C21" s="5">
        <v>7190.5860000000002</v>
      </c>
      <c r="D21">
        <v>4.05</v>
      </c>
      <c r="E21" s="4">
        <v>0</v>
      </c>
      <c r="F21" s="5">
        <v>14993.825999999999</v>
      </c>
      <c r="G21" s="5">
        <v>43214.942999999999</v>
      </c>
    </row>
    <row r="22" spans="1:7">
      <c r="A22" t="s">
        <v>1</v>
      </c>
      <c r="B22" s="5">
        <v>-38307.99</v>
      </c>
      <c r="C22" s="5">
        <v>5755.1390000000001</v>
      </c>
      <c r="D22">
        <v>-6.66</v>
      </c>
      <c r="E22" s="4">
        <v>0</v>
      </c>
      <c r="F22" s="5">
        <v>-49601.68</v>
      </c>
      <c r="G22" s="5">
        <v>-27014.3</v>
      </c>
    </row>
    <row r="23" spans="1:7">
      <c r="A23" t="s">
        <v>25</v>
      </c>
      <c r="B23" s="5">
        <v>-453.87459999999999</v>
      </c>
      <c r="C23" s="5">
        <v>197.03970000000001</v>
      </c>
      <c r="D23">
        <v>-2.2999999999999998</v>
      </c>
      <c r="E23" s="4">
        <v>2.1499999999999998E-2</v>
      </c>
      <c r="F23" s="5">
        <v>-840.5385</v>
      </c>
      <c r="G23" s="5">
        <v>-67.210589999999996</v>
      </c>
    </row>
    <row r="24" spans="1:7">
      <c r="A24" t="s">
        <v>123</v>
      </c>
      <c r="B24" s="5">
        <v>-1473.317</v>
      </c>
      <c r="C24" s="5">
        <v>6748.0659999999998</v>
      </c>
      <c r="D24">
        <v>-0.22</v>
      </c>
      <c r="E24" s="4">
        <v>0.82720000000000005</v>
      </c>
      <c r="F24" s="5">
        <v>-14715.49</v>
      </c>
      <c r="G24" s="5">
        <v>11768.856</v>
      </c>
    </row>
    <row r="25" spans="1:7">
      <c r="A25" t="s">
        <v>124</v>
      </c>
      <c r="B25" s="5">
        <v>-2265.9569999999999</v>
      </c>
      <c r="C25" s="5">
        <v>13189.41</v>
      </c>
      <c r="D25">
        <v>-0.17</v>
      </c>
      <c r="E25" s="4">
        <v>0.86360000000000003</v>
      </c>
      <c r="F25" s="5">
        <v>-28148.41</v>
      </c>
      <c r="G25" s="5">
        <v>23616.495999999999</v>
      </c>
    </row>
    <row r="26" spans="1:7">
      <c r="A26" t="s">
        <v>125</v>
      </c>
      <c r="B26" s="5">
        <v>236532.98</v>
      </c>
      <c r="C26" s="5">
        <v>145317.79999999999</v>
      </c>
      <c r="D26">
        <v>1.63</v>
      </c>
      <c r="E26" s="4">
        <v>0.10390000000000001</v>
      </c>
      <c r="F26" s="5">
        <v>-48633.7</v>
      </c>
      <c r="G26" s="5">
        <v>521699.66</v>
      </c>
    </row>
    <row r="27" spans="1:7">
      <c r="A27" t="s">
        <v>126</v>
      </c>
      <c r="B27" s="5">
        <v>143103.44</v>
      </c>
      <c r="C27" s="5">
        <v>118447.2</v>
      </c>
      <c r="D27">
        <v>1.21</v>
      </c>
      <c r="E27" s="4">
        <v>0.2273</v>
      </c>
      <c r="F27" s="5">
        <v>-89333.29</v>
      </c>
      <c r="G27" s="5">
        <v>375540.18</v>
      </c>
    </row>
    <row r="28" spans="1:7">
      <c r="A28" t="s">
        <v>127</v>
      </c>
      <c r="B28" s="5">
        <v>105484.06</v>
      </c>
      <c r="C28" s="5">
        <v>109761.4</v>
      </c>
      <c r="D28">
        <v>0.96</v>
      </c>
      <c r="E28" s="4">
        <v>0.33679999999999999</v>
      </c>
      <c r="F28" s="5">
        <v>-109908</v>
      </c>
      <c r="G28" s="5">
        <v>320876.09000000003</v>
      </c>
    </row>
    <row r="29" spans="1:7">
      <c r="A29" t="s">
        <v>37</v>
      </c>
      <c r="B29" s="13" t="s">
        <v>37</v>
      </c>
      <c r="C29" s="13" t="s">
        <v>37</v>
      </c>
      <c r="D29" s="14" t="s">
        <v>37</v>
      </c>
      <c r="E29" s="14" t="s">
        <v>37</v>
      </c>
      <c r="F29" s="13" t="s">
        <v>37</v>
      </c>
      <c r="G29" s="13" t="s">
        <v>37</v>
      </c>
    </row>
    <row r="30" spans="1:7" ht="15.75" thickBot="1">
      <c r="A30" s="1" t="s">
        <v>149</v>
      </c>
      <c r="B30" s="10">
        <v>134705.19</v>
      </c>
      <c r="C30" s="10">
        <v>125724.2</v>
      </c>
      <c r="D30" s="1">
        <v>1.07</v>
      </c>
      <c r="E30" s="1">
        <v>0.28420000000000001</v>
      </c>
      <c r="F30" s="1">
        <v>-112011.6</v>
      </c>
      <c r="G30" s="1">
        <v>381421.98</v>
      </c>
    </row>
    <row r="31" spans="1:7">
      <c r="A31" t="s">
        <v>151</v>
      </c>
    </row>
    <row r="33" spans="1:1">
      <c r="A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Model 1</vt:lpstr>
      <vt:lpstr>Model 2</vt:lpstr>
      <vt:lpstr>Model 3</vt:lpstr>
      <vt:lpstr>Model 4</vt:lpstr>
      <vt:lpstr>AGE and ZIP</vt:lpstr>
      <vt:lpstr>Model 5</vt:lpstr>
      <vt:lpstr>Model 5 Excel</vt:lpstr>
      <vt:lpstr>Model 5b</vt:lpstr>
      <vt:lpstr>Model 6</vt:lpstr>
      <vt:lpstr>Model 6 Excel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2014-02-20T18:46:59Z</cp:lastPrinted>
  <dcterms:created xsi:type="dcterms:W3CDTF">2014-02-20T18:26:58Z</dcterms:created>
  <dcterms:modified xsi:type="dcterms:W3CDTF">2026-01-12T13:33:45Z</dcterms:modified>
</cp:coreProperties>
</file>