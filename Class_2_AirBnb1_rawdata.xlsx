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https://bitsom-my.sharepoint.com/personal/saravanan_kesavan_bitsom_edu_in/Documents/GenAI_Masai/"/>
    </mc:Choice>
  </mc:AlternateContent>
  <xr:revisionPtr revIDLastSave="6" documentId="8_{FBFBECCA-872F-D34F-B101-B9A56A7D9653}" xr6:coauthVersionLast="47" xr6:coauthVersionMax="47" xr10:uidLastSave="{FCC75734-725D-C546-8715-C8063BF4EC86}"/>
  <bookViews>
    <workbookView xWindow="0" yWindow="740" windowWidth="21800" windowHeight="13880" xr2:uid="{00000000-000D-0000-FFFF-FFFF00000000}"/>
  </bookViews>
  <sheets>
    <sheet name="Airbnb_KPI_Data" sheetId="1" r:id="rId1"/>
    <sheet name="Data_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9" i="1" l="1"/>
  <c r="I1007" i="1"/>
  <c r="I1005" i="1"/>
  <c r="I100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E1011" i="1"/>
  <c r="E1006" i="1"/>
  <c r="E1005" i="1"/>
</calcChain>
</file>

<file path=xl/sharedStrings.xml><?xml version="1.0" encoding="utf-8"?>
<sst xmlns="http://schemas.openxmlformats.org/spreadsheetml/2006/main" count="55" uniqueCount="40">
  <si>
    <t>nights_booked</t>
  </si>
  <si>
    <t>active_listings</t>
  </si>
  <si>
    <t>new_hosts_onboarded</t>
  </si>
  <si>
    <t>host_retention_rate</t>
  </si>
  <si>
    <t>conversion_rate</t>
  </si>
  <si>
    <t>click_rate</t>
  </si>
  <si>
    <t>booking_completion_rate</t>
  </si>
  <si>
    <t>payment_success_rate</t>
  </si>
  <si>
    <t>customer_engagement</t>
  </si>
  <si>
    <t>repeat_bookings</t>
  </si>
  <si>
    <t>average_length_of_stay</t>
  </si>
  <si>
    <t>Variable</t>
  </si>
  <si>
    <t>Description</t>
  </si>
  <si>
    <t>Unit / Scale</t>
  </si>
  <si>
    <t>Count of nights</t>
  </si>
  <si>
    <t>Number of listings with availability during the period. Captures marketplace supply.</t>
  </si>
  <si>
    <t>Count of listings</t>
  </si>
  <si>
    <t>Number of new hosts who joined the platform in the period.</t>
  </si>
  <si>
    <t>Count of hosts</t>
  </si>
  <si>
    <t>Proportion of existing hosts who remained active after a given period. Indicates supply health.</t>
  </si>
  <si>
    <t>Proportion (0–1)</t>
  </si>
  <si>
    <t>Share of site visitors/searchers who completed a booking.</t>
  </si>
  <si>
    <t>Share of users clicking on listings relative to impressions.</t>
  </si>
  <si>
    <t>Proportion of initiated bookings that were successfully confirmed.</t>
  </si>
  <si>
    <t>Share of attempted payments that succeeded without failure.</t>
  </si>
  <si>
    <t>Proxy for customer activity during the period, e.g., app sessions, interactions, or searches.</t>
  </si>
  <si>
    <t>Count (index measure)</t>
  </si>
  <si>
    <t>Number of bookings made by returning customers.</t>
  </si>
  <si>
    <t>Count of bookings</t>
  </si>
  <si>
    <t>Average number of nights per booking.</t>
  </si>
  <si>
    <t>Days</t>
  </si>
  <si>
    <t xml:space="preserve">Number of nights booked within the period. </t>
  </si>
  <si>
    <t>AVERAGE</t>
  </si>
  <si>
    <t>STD DEV</t>
  </si>
  <si>
    <t>t=2.631</t>
  </si>
  <si>
    <t>pvalue</t>
  </si>
  <si>
    <t>payment_failure_rate</t>
  </si>
  <si>
    <t>t</t>
  </si>
  <si>
    <t>p-vsalue</t>
  </si>
  <si>
    <t>p-value&lt;0.05, sp we reject the null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</si>
</sst>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1"/>
  <sheetViews>
    <sheetView tabSelected="1" zoomScale="151" zoomScaleNormal="151" workbookViewId="0">
      <selection activeCell="H1" sqref="H1:I1048576"/>
    </sheetView>
  </sheetViews>
  <sheetFormatPr baseColWidth="10" defaultColWidth="8.83203125" defaultRowHeight="15" x14ac:dyDescent="0.2"/>
  <cols>
    <col min="1" max="1" width="22.83203125" customWidth="1"/>
    <col min="2" max="2" width="27.33203125" customWidth="1"/>
    <col min="4" max="4" width="27.1640625" customWidth="1"/>
    <col min="5" max="5" width="31.33203125" style="3" customWidth="1"/>
    <col min="7" max="7" width="14.83203125" customWidth="1"/>
    <col min="8" max="9" width="22.1640625" style="3" customWidth="1"/>
    <col min="10" max="10" width="21.1640625" customWidth="1"/>
    <col min="11" max="11" width="36" customWidth="1"/>
    <col min="12" max="12" width="17.83203125" customWidth="1"/>
  </cols>
  <sheetData>
    <row r="1" spans="1:12" ht="57" customHeight="1" x14ac:dyDescent="0.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s="3" t="s">
        <v>7</v>
      </c>
      <c r="I1" s="3" t="s">
        <v>36</v>
      </c>
      <c r="J1" t="s">
        <v>8</v>
      </c>
      <c r="K1" t="s">
        <v>9</v>
      </c>
      <c r="L1" t="s">
        <v>10</v>
      </c>
    </row>
    <row r="2" spans="1:12" x14ac:dyDescent="0.2">
      <c r="A2">
        <v>25</v>
      </c>
      <c r="B2">
        <v>1076</v>
      </c>
      <c r="C2">
        <v>105</v>
      </c>
      <c r="D2">
        <v>0.6</v>
      </c>
      <c r="E2" s="3">
        <v>7.2999999999999995E-2</v>
      </c>
      <c r="F2">
        <v>0.16</v>
      </c>
      <c r="G2">
        <v>0.93400000000000005</v>
      </c>
      <c r="H2" s="3">
        <v>0.98799999999999999</v>
      </c>
      <c r="I2" s="3">
        <f>1-H2</f>
        <v>1.2000000000000011E-2</v>
      </c>
      <c r="J2">
        <v>2</v>
      </c>
      <c r="K2">
        <v>4</v>
      </c>
      <c r="L2">
        <v>9.9</v>
      </c>
    </row>
    <row r="3" spans="1:12" x14ac:dyDescent="0.2">
      <c r="A3">
        <v>98</v>
      </c>
      <c r="B3">
        <v>4758</v>
      </c>
      <c r="C3">
        <v>66</v>
      </c>
      <c r="D3">
        <v>0.6</v>
      </c>
      <c r="E3" s="3">
        <v>4.8000000000000001E-2</v>
      </c>
      <c r="F3">
        <v>0.185</v>
      </c>
      <c r="G3">
        <v>0.73</v>
      </c>
      <c r="H3" s="3">
        <v>0.98199999999999998</v>
      </c>
      <c r="I3" s="3">
        <f t="shared" ref="I3:I66" si="0">1-H3</f>
        <v>1.8000000000000016E-2</v>
      </c>
      <c r="J3">
        <v>24</v>
      </c>
      <c r="K3">
        <v>2</v>
      </c>
      <c r="L3">
        <v>9.5</v>
      </c>
    </row>
    <row r="4" spans="1:12" x14ac:dyDescent="0.2">
      <c r="A4">
        <v>104</v>
      </c>
      <c r="B4">
        <v>4992</v>
      </c>
      <c r="C4">
        <v>156</v>
      </c>
      <c r="D4">
        <v>0.6</v>
      </c>
      <c r="E4" s="3">
        <v>0.17199999999999999</v>
      </c>
      <c r="F4">
        <v>0.121</v>
      </c>
      <c r="G4">
        <v>0.97399999999999998</v>
      </c>
      <c r="H4" s="3">
        <v>0.92300000000000004</v>
      </c>
      <c r="I4" s="3">
        <f t="shared" si="0"/>
        <v>7.6999999999999957E-2</v>
      </c>
      <c r="J4">
        <v>79</v>
      </c>
      <c r="K4">
        <v>18</v>
      </c>
      <c r="L4">
        <v>13.6</v>
      </c>
    </row>
    <row r="5" spans="1:12" x14ac:dyDescent="0.2">
      <c r="A5">
        <v>23</v>
      </c>
      <c r="B5">
        <v>1009</v>
      </c>
      <c r="C5">
        <v>128</v>
      </c>
      <c r="D5">
        <v>0.60199999999999998</v>
      </c>
      <c r="E5" s="3">
        <v>6.2E-2</v>
      </c>
      <c r="F5">
        <v>0.13800000000000001</v>
      </c>
      <c r="G5">
        <v>0.83</v>
      </c>
      <c r="H5" s="3">
        <v>0.997</v>
      </c>
      <c r="I5" s="3">
        <f t="shared" si="0"/>
        <v>3.0000000000000027E-3</v>
      </c>
      <c r="J5">
        <v>47</v>
      </c>
      <c r="K5">
        <v>18</v>
      </c>
      <c r="L5">
        <v>2.9</v>
      </c>
    </row>
    <row r="6" spans="1:12" x14ac:dyDescent="0.2">
      <c r="A6">
        <v>46</v>
      </c>
      <c r="B6">
        <v>2076</v>
      </c>
      <c r="C6">
        <v>111</v>
      </c>
      <c r="D6">
        <v>0.60199999999999998</v>
      </c>
      <c r="E6" s="3">
        <v>0.112</v>
      </c>
      <c r="F6">
        <v>0.22800000000000001</v>
      </c>
      <c r="G6">
        <v>0.75800000000000001</v>
      </c>
      <c r="H6" s="3">
        <v>0.95299999999999996</v>
      </c>
      <c r="I6" s="3">
        <f t="shared" si="0"/>
        <v>4.7000000000000042E-2</v>
      </c>
      <c r="J6">
        <v>32</v>
      </c>
      <c r="K6">
        <v>17</v>
      </c>
      <c r="L6">
        <v>2.4</v>
      </c>
    </row>
    <row r="7" spans="1:12" x14ac:dyDescent="0.2">
      <c r="A7">
        <v>28</v>
      </c>
      <c r="B7">
        <v>1220</v>
      </c>
      <c r="C7">
        <v>148</v>
      </c>
      <c r="D7">
        <v>0.60299999999999998</v>
      </c>
      <c r="E7" s="3">
        <v>0.10299999999999999</v>
      </c>
      <c r="F7">
        <v>5.1999999999999998E-2</v>
      </c>
      <c r="G7">
        <v>0.73799999999999999</v>
      </c>
      <c r="H7" s="3">
        <v>0.996</v>
      </c>
      <c r="I7" s="3">
        <f t="shared" si="0"/>
        <v>4.0000000000000036E-3</v>
      </c>
      <c r="J7">
        <v>48</v>
      </c>
      <c r="K7">
        <v>1</v>
      </c>
      <c r="L7">
        <v>15</v>
      </c>
    </row>
    <row r="8" spans="1:12" x14ac:dyDescent="0.2">
      <c r="A8">
        <v>73</v>
      </c>
      <c r="B8">
        <v>3454</v>
      </c>
      <c r="C8">
        <v>23</v>
      </c>
      <c r="D8">
        <v>0.60299999999999998</v>
      </c>
      <c r="E8" s="3">
        <v>5.3999999999999999E-2</v>
      </c>
      <c r="F8">
        <v>9.0999999999999998E-2</v>
      </c>
      <c r="G8">
        <v>0.83799999999999997</v>
      </c>
      <c r="H8" s="3">
        <v>0.94599999999999995</v>
      </c>
      <c r="I8" s="3">
        <f t="shared" si="0"/>
        <v>5.4000000000000048E-2</v>
      </c>
      <c r="J8">
        <v>4</v>
      </c>
      <c r="K8">
        <v>17</v>
      </c>
      <c r="L8">
        <v>9.8000000000000007</v>
      </c>
    </row>
    <row r="9" spans="1:12" x14ac:dyDescent="0.2">
      <c r="A9">
        <v>47</v>
      </c>
      <c r="B9">
        <v>2264</v>
      </c>
      <c r="C9">
        <v>175</v>
      </c>
      <c r="D9">
        <v>0.60399999999999998</v>
      </c>
      <c r="E9" s="3">
        <v>0.10199999999999999</v>
      </c>
      <c r="F9">
        <v>0.17100000000000001</v>
      </c>
      <c r="G9">
        <v>0.78600000000000003</v>
      </c>
      <c r="H9" s="3">
        <v>0.95899999999999996</v>
      </c>
      <c r="I9" s="3">
        <f t="shared" si="0"/>
        <v>4.1000000000000036E-2</v>
      </c>
      <c r="J9">
        <v>32</v>
      </c>
      <c r="K9">
        <v>6</v>
      </c>
      <c r="L9">
        <v>12.1</v>
      </c>
    </row>
    <row r="10" spans="1:12" x14ac:dyDescent="0.2">
      <c r="A10">
        <v>52</v>
      </c>
      <c r="B10">
        <v>2346</v>
      </c>
      <c r="C10">
        <v>163</v>
      </c>
      <c r="D10">
        <v>0.60399999999999998</v>
      </c>
      <c r="E10" s="3">
        <v>0.11600000000000001</v>
      </c>
      <c r="F10">
        <v>0.19900000000000001</v>
      </c>
      <c r="G10">
        <v>0.84599999999999997</v>
      </c>
      <c r="H10" s="3">
        <v>0.98699999999999999</v>
      </c>
      <c r="I10" s="3">
        <f t="shared" si="0"/>
        <v>1.3000000000000012E-2</v>
      </c>
      <c r="J10">
        <v>98</v>
      </c>
      <c r="K10">
        <v>4</v>
      </c>
      <c r="L10">
        <v>3.7</v>
      </c>
    </row>
    <row r="11" spans="1:12" x14ac:dyDescent="0.2">
      <c r="A11">
        <v>85</v>
      </c>
      <c r="B11">
        <v>4211</v>
      </c>
      <c r="C11">
        <v>133</v>
      </c>
      <c r="D11">
        <v>0.60399999999999998</v>
      </c>
      <c r="E11" s="3">
        <v>0.09</v>
      </c>
      <c r="F11">
        <v>9.1999999999999998E-2</v>
      </c>
      <c r="G11">
        <v>0.72899999999999998</v>
      </c>
      <c r="H11" s="3">
        <v>0.90300000000000002</v>
      </c>
      <c r="I11" s="3">
        <f t="shared" si="0"/>
        <v>9.6999999999999975E-2</v>
      </c>
      <c r="J11">
        <v>82</v>
      </c>
      <c r="K11">
        <v>14</v>
      </c>
      <c r="L11">
        <v>4.2</v>
      </c>
    </row>
    <row r="12" spans="1:12" x14ac:dyDescent="0.2">
      <c r="A12">
        <v>35</v>
      </c>
      <c r="B12">
        <v>1539</v>
      </c>
      <c r="C12">
        <v>58</v>
      </c>
      <c r="D12">
        <v>0.60499999999999998</v>
      </c>
      <c r="E12" s="3">
        <v>0.17</v>
      </c>
      <c r="F12">
        <v>6.3E-2</v>
      </c>
      <c r="G12">
        <v>0.94199999999999995</v>
      </c>
      <c r="H12" s="3">
        <v>0.90800000000000003</v>
      </c>
      <c r="I12" s="3">
        <f t="shared" si="0"/>
        <v>9.1999999999999971E-2</v>
      </c>
      <c r="J12">
        <v>96</v>
      </c>
      <c r="K12">
        <v>1</v>
      </c>
      <c r="L12">
        <v>11.3</v>
      </c>
    </row>
    <row r="13" spans="1:12" x14ac:dyDescent="0.2">
      <c r="A13">
        <v>79</v>
      </c>
      <c r="B13">
        <v>3745</v>
      </c>
      <c r="C13">
        <v>75</v>
      </c>
      <c r="D13">
        <v>0.60499999999999998</v>
      </c>
      <c r="E13" s="3">
        <v>6.7000000000000004E-2</v>
      </c>
      <c r="F13">
        <v>5.8000000000000003E-2</v>
      </c>
      <c r="G13">
        <v>0.93899999999999995</v>
      </c>
      <c r="H13" s="3">
        <v>0.91800000000000004</v>
      </c>
      <c r="I13" s="3">
        <f t="shared" si="0"/>
        <v>8.1999999999999962E-2</v>
      </c>
      <c r="J13">
        <v>37</v>
      </c>
      <c r="K13">
        <v>13</v>
      </c>
      <c r="L13">
        <v>3.9</v>
      </c>
    </row>
    <row r="14" spans="1:12" x14ac:dyDescent="0.2">
      <c r="A14">
        <v>100</v>
      </c>
      <c r="B14">
        <v>4901</v>
      </c>
      <c r="C14">
        <v>154</v>
      </c>
      <c r="D14">
        <v>0.60499999999999998</v>
      </c>
      <c r="E14" s="3">
        <v>3.1E-2</v>
      </c>
      <c r="F14">
        <v>0.19</v>
      </c>
      <c r="G14">
        <v>0.92600000000000005</v>
      </c>
      <c r="H14" s="3">
        <v>0.98</v>
      </c>
      <c r="I14" s="3">
        <f t="shared" si="0"/>
        <v>2.0000000000000018E-2</v>
      </c>
      <c r="J14">
        <v>99</v>
      </c>
      <c r="K14">
        <v>13</v>
      </c>
      <c r="L14">
        <v>12.9</v>
      </c>
    </row>
    <row r="15" spans="1:12" x14ac:dyDescent="0.2">
      <c r="A15">
        <v>55</v>
      </c>
      <c r="B15">
        <v>2681</v>
      </c>
      <c r="C15">
        <v>176</v>
      </c>
      <c r="D15">
        <v>0.60599999999999998</v>
      </c>
      <c r="E15" s="3">
        <v>0.13500000000000001</v>
      </c>
      <c r="F15">
        <v>0.17299999999999999</v>
      </c>
      <c r="G15">
        <v>0.73499999999999999</v>
      </c>
      <c r="H15" s="3">
        <v>0.93899999999999995</v>
      </c>
      <c r="I15" s="3">
        <f t="shared" si="0"/>
        <v>6.1000000000000054E-2</v>
      </c>
      <c r="J15">
        <v>64</v>
      </c>
      <c r="K15">
        <v>0</v>
      </c>
      <c r="L15">
        <v>1.4</v>
      </c>
    </row>
    <row r="16" spans="1:12" x14ac:dyDescent="0.2">
      <c r="A16">
        <v>85</v>
      </c>
      <c r="B16">
        <v>4130</v>
      </c>
      <c r="C16">
        <v>88</v>
      </c>
      <c r="D16">
        <v>0.60599999999999998</v>
      </c>
      <c r="E16" s="3">
        <v>0.189</v>
      </c>
      <c r="F16">
        <v>0.13500000000000001</v>
      </c>
      <c r="G16">
        <v>0.92100000000000004</v>
      </c>
      <c r="H16" s="3">
        <v>0.91400000000000003</v>
      </c>
      <c r="I16" s="3">
        <f t="shared" si="0"/>
        <v>8.5999999999999965E-2</v>
      </c>
      <c r="J16">
        <v>33</v>
      </c>
      <c r="K16">
        <v>14</v>
      </c>
      <c r="L16">
        <v>8.6</v>
      </c>
    </row>
    <row r="17" spans="1:12" x14ac:dyDescent="0.2">
      <c r="A17">
        <v>87</v>
      </c>
      <c r="B17">
        <v>4253</v>
      </c>
      <c r="C17">
        <v>190</v>
      </c>
      <c r="D17">
        <v>0.60599999999999998</v>
      </c>
      <c r="E17" s="3">
        <v>8.2000000000000003E-2</v>
      </c>
      <c r="F17">
        <v>7.5999999999999998E-2</v>
      </c>
      <c r="G17">
        <v>0.91400000000000003</v>
      </c>
      <c r="H17" s="3">
        <v>0.90600000000000003</v>
      </c>
      <c r="I17" s="3">
        <f t="shared" si="0"/>
        <v>9.3999999999999972E-2</v>
      </c>
      <c r="J17">
        <v>87</v>
      </c>
      <c r="K17">
        <v>1</v>
      </c>
      <c r="L17">
        <v>14.9</v>
      </c>
    </row>
    <row r="18" spans="1:12" x14ac:dyDescent="0.2">
      <c r="A18">
        <v>82</v>
      </c>
      <c r="B18">
        <v>3834</v>
      </c>
      <c r="C18">
        <v>132</v>
      </c>
      <c r="D18">
        <v>0.60699999999999998</v>
      </c>
      <c r="E18" s="3">
        <v>0.19500000000000001</v>
      </c>
      <c r="F18">
        <v>0.21099999999999999</v>
      </c>
      <c r="G18">
        <v>0.72099999999999997</v>
      </c>
      <c r="H18" s="3">
        <v>0.98299999999999998</v>
      </c>
      <c r="I18" s="3">
        <f t="shared" si="0"/>
        <v>1.7000000000000015E-2</v>
      </c>
      <c r="J18">
        <v>4</v>
      </c>
      <c r="K18">
        <v>10</v>
      </c>
      <c r="L18">
        <v>1.2</v>
      </c>
    </row>
    <row r="19" spans="1:12" x14ac:dyDescent="0.2">
      <c r="A19">
        <v>38</v>
      </c>
      <c r="B19">
        <v>1699</v>
      </c>
      <c r="C19">
        <v>190</v>
      </c>
      <c r="D19">
        <v>0.60799999999999998</v>
      </c>
      <c r="E19" s="3">
        <v>8.3000000000000004E-2</v>
      </c>
      <c r="F19">
        <v>0.18</v>
      </c>
      <c r="G19">
        <v>0.81899999999999995</v>
      </c>
      <c r="H19" s="3">
        <v>0.90900000000000003</v>
      </c>
      <c r="I19" s="3">
        <f t="shared" si="0"/>
        <v>9.099999999999997E-2</v>
      </c>
      <c r="J19">
        <v>33</v>
      </c>
      <c r="K19">
        <v>3</v>
      </c>
      <c r="L19">
        <v>10.8</v>
      </c>
    </row>
    <row r="20" spans="1:12" x14ac:dyDescent="0.2">
      <c r="A20">
        <v>92</v>
      </c>
      <c r="B20">
        <v>4563</v>
      </c>
      <c r="C20">
        <v>53</v>
      </c>
      <c r="D20">
        <v>0.60799999999999998</v>
      </c>
      <c r="E20" s="3">
        <v>0.106</v>
      </c>
      <c r="F20">
        <v>0.14499999999999999</v>
      </c>
      <c r="G20">
        <v>0.79800000000000004</v>
      </c>
      <c r="H20" s="3">
        <v>0.91</v>
      </c>
      <c r="I20" s="3">
        <f t="shared" si="0"/>
        <v>8.9999999999999969E-2</v>
      </c>
      <c r="J20">
        <v>59</v>
      </c>
      <c r="K20">
        <v>8</v>
      </c>
      <c r="L20">
        <v>7.7</v>
      </c>
    </row>
    <row r="21" spans="1:12" x14ac:dyDescent="0.2">
      <c r="A21">
        <v>37</v>
      </c>
      <c r="B21">
        <v>1666</v>
      </c>
      <c r="C21">
        <v>29</v>
      </c>
      <c r="D21">
        <v>0.60899999999999999</v>
      </c>
      <c r="E21" s="3">
        <v>7.0000000000000007E-2</v>
      </c>
      <c r="F21">
        <v>0.27900000000000003</v>
      </c>
      <c r="G21">
        <v>0.753</v>
      </c>
      <c r="H21" s="3">
        <v>0.95599999999999996</v>
      </c>
      <c r="I21" s="3">
        <f t="shared" si="0"/>
        <v>4.4000000000000039E-2</v>
      </c>
      <c r="J21">
        <v>32</v>
      </c>
      <c r="K21">
        <v>15</v>
      </c>
      <c r="L21">
        <v>8.1</v>
      </c>
    </row>
    <row r="22" spans="1:12" x14ac:dyDescent="0.2">
      <c r="A22">
        <v>59</v>
      </c>
      <c r="B22">
        <v>2890</v>
      </c>
      <c r="C22">
        <v>167</v>
      </c>
      <c r="D22">
        <v>0.60899999999999999</v>
      </c>
      <c r="E22" s="3">
        <v>2.5999999999999999E-2</v>
      </c>
      <c r="F22">
        <v>0.28799999999999998</v>
      </c>
      <c r="G22">
        <v>0.76200000000000001</v>
      </c>
      <c r="H22" s="3">
        <v>0.91200000000000003</v>
      </c>
      <c r="I22" s="3">
        <f t="shared" si="0"/>
        <v>8.7999999999999967E-2</v>
      </c>
      <c r="J22">
        <v>63</v>
      </c>
      <c r="K22">
        <v>2</v>
      </c>
      <c r="L22">
        <v>7.1</v>
      </c>
    </row>
    <row r="23" spans="1:12" x14ac:dyDescent="0.2">
      <c r="A23">
        <v>62</v>
      </c>
      <c r="B23">
        <v>2920</v>
      </c>
      <c r="C23">
        <v>35</v>
      </c>
      <c r="D23">
        <v>0.60899999999999999</v>
      </c>
      <c r="E23" s="3">
        <v>0.13200000000000001</v>
      </c>
      <c r="F23">
        <v>8.8999999999999996E-2</v>
      </c>
      <c r="G23">
        <v>0.71599999999999997</v>
      </c>
      <c r="H23" s="3">
        <v>0.98399999999999999</v>
      </c>
      <c r="I23" s="3">
        <f t="shared" si="0"/>
        <v>1.6000000000000014E-2</v>
      </c>
      <c r="J23">
        <v>89</v>
      </c>
      <c r="K23">
        <v>4</v>
      </c>
      <c r="L23">
        <v>3.3</v>
      </c>
    </row>
    <row r="24" spans="1:12" x14ac:dyDescent="0.2">
      <c r="A24">
        <v>85</v>
      </c>
      <c r="B24">
        <v>4218</v>
      </c>
      <c r="C24">
        <v>103</v>
      </c>
      <c r="D24">
        <v>0.60899999999999999</v>
      </c>
      <c r="E24" s="3">
        <v>7.0999999999999994E-2</v>
      </c>
      <c r="F24">
        <v>0.27900000000000003</v>
      </c>
      <c r="G24">
        <v>0.79500000000000004</v>
      </c>
      <c r="H24" s="3">
        <v>0.95899999999999996</v>
      </c>
      <c r="I24" s="3">
        <f t="shared" si="0"/>
        <v>4.1000000000000036E-2</v>
      </c>
      <c r="J24">
        <v>31</v>
      </c>
      <c r="K24">
        <v>6</v>
      </c>
      <c r="L24">
        <v>2.1</v>
      </c>
    </row>
    <row r="25" spans="1:12" x14ac:dyDescent="0.2">
      <c r="A25">
        <v>95</v>
      </c>
      <c r="B25">
        <v>4702</v>
      </c>
      <c r="C25">
        <v>159</v>
      </c>
      <c r="D25">
        <v>0.60899999999999999</v>
      </c>
      <c r="E25" s="3">
        <v>8.5000000000000006E-2</v>
      </c>
      <c r="F25">
        <v>8.6999999999999994E-2</v>
      </c>
      <c r="G25">
        <v>0.91800000000000004</v>
      </c>
      <c r="H25" s="3">
        <v>0.99399999999999999</v>
      </c>
      <c r="I25" s="3">
        <f t="shared" si="0"/>
        <v>6.0000000000000053E-3</v>
      </c>
      <c r="J25">
        <v>32</v>
      </c>
      <c r="K25">
        <v>1</v>
      </c>
      <c r="L25">
        <v>8.1</v>
      </c>
    </row>
    <row r="26" spans="1:12" x14ac:dyDescent="0.2">
      <c r="A26">
        <v>56</v>
      </c>
      <c r="B26">
        <v>2627</v>
      </c>
      <c r="C26">
        <v>42</v>
      </c>
      <c r="D26">
        <v>0.61</v>
      </c>
      <c r="E26" s="3">
        <v>0.13700000000000001</v>
      </c>
      <c r="F26">
        <v>6.4000000000000001E-2</v>
      </c>
      <c r="G26">
        <v>0.74399999999999999</v>
      </c>
      <c r="H26" s="3">
        <v>0.98599999999999999</v>
      </c>
      <c r="I26" s="3">
        <f t="shared" si="0"/>
        <v>1.4000000000000012E-2</v>
      </c>
      <c r="J26">
        <v>96</v>
      </c>
      <c r="K26">
        <v>2</v>
      </c>
      <c r="L26">
        <v>2.2999999999999998</v>
      </c>
    </row>
    <row r="27" spans="1:12" x14ac:dyDescent="0.2">
      <c r="A27">
        <v>66</v>
      </c>
      <c r="B27">
        <v>3246</v>
      </c>
      <c r="C27">
        <v>29</v>
      </c>
      <c r="D27">
        <v>0.61</v>
      </c>
      <c r="E27" s="3">
        <v>5.2999999999999999E-2</v>
      </c>
      <c r="F27">
        <v>0.28799999999999998</v>
      </c>
      <c r="G27">
        <v>0.82199999999999995</v>
      </c>
      <c r="H27" s="3">
        <v>0.90900000000000003</v>
      </c>
      <c r="I27" s="3">
        <f t="shared" si="0"/>
        <v>9.099999999999997E-2</v>
      </c>
      <c r="J27">
        <v>65</v>
      </c>
      <c r="K27">
        <v>14</v>
      </c>
      <c r="L27">
        <v>3.9</v>
      </c>
    </row>
    <row r="28" spans="1:12" x14ac:dyDescent="0.2">
      <c r="A28">
        <v>95</v>
      </c>
      <c r="B28">
        <v>4555</v>
      </c>
      <c r="C28">
        <v>37</v>
      </c>
      <c r="D28">
        <v>0.61</v>
      </c>
      <c r="E28" s="3">
        <v>5.8999999999999997E-2</v>
      </c>
      <c r="F28">
        <v>0.22900000000000001</v>
      </c>
      <c r="G28">
        <v>0.71099999999999997</v>
      </c>
      <c r="H28" s="3">
        <v>0.92600000000000005</v>
      </c>
      <c r="I28" s="3">
        <f t="shared" si="0"/>
        <v>7.3999999999999955E-2</v>
      </c>
      <c r="J28">
        <v>6</v>
      </c>
      <c r="K28">
        <v>5</v>
      </c>
      <c r="L28">
        <v>13.7</v>
      </c>
    </row>
    <row r="29" spans="1:12" x14ac:dyDescent="0.2">
      <c r="A29">
        <v>96</v>
      </c>
      <c r="B29">
        <v>4575</v>
      </c>
      <c r="C29">
        <v>48</v>
      </c>
      <c r="D29">
        <v>0.61</v>
      </c>
      <c r="E29" s="3">
        <v>0.15</v>
      </c>
      <c r="F29">
        <v>0.111</v>
      </c>
      <c r="G29">
        <v>0.73799999999999999</v>
      </c>
      <c r="H29" s="3">
        <v>0.96699999999999997</v>
      </c>
      <c r="I29" s="3">
        <f t="shared" si="0"/>
        <v>3.3000000000000029E-2</v>
      </c>
      <c r="J29">
        <v>31</v>
      </c>
      <c r="K29">
        <v>3</v>
      </c>
      <c r="L29">
        <v>7.7</v>
      </c>
    </row>
    <row r="30" spans="1:12" x14ac:dyDescent="0.2">
      <c r="A30">
        <v>50</v>
      </c>
      <c r="B30">
        <v>2461</v>
      </c>
      <c r="C30">
        <v>58</v>
      </c>
      <c r="D30">
        <v>0.61099999999999999</v>
      </c>
      <c r="E30" s="3">
        <v>1.7999999999999999E-2</v>
      </c>
      <c r="F30">
        <v>0.26900000000000002</v>
      </c>
      <c r="G30">
        <v>0.95799999999999996</v>
      </c>
      <c r="H30" s="3">
        <v>0.95799999999999996</v>
      </c>
      <c r="I30" s="3">
        <f t="shared" si="0"/>
        <v>4.2000000000000037E-2</v>
      </c>
      <c r="J30">
        <v>19</v>
      </c>
      <c r="K30">
        <v>1</v>
      </c>
      <c r="L30">
        <v>6.7</v>
      </c>
    </row>
    <row r="31" spans="1:12" x14ac:dyDescent="0.2">
      <c r="A31">
        <v>52</v>
      </c>
      <c r="B31">
        <v>2464</v>
      </c>
      <c r="C31">
        <v>64</v>
      </c>
      <c r="D31">
        <v>0.61099999999999999</v>
      </c>
      <c r="E31" s="3">
        <v>6.5000000000000002E-2</v>
      </c>
      <c r="F31">
        <v>0.152</v>
      </c>
      <c r="G31">
        <v>0.97699999999999998</v>
      </c>
      <c r="H31" s="3">
        <v>0.91300000000000003</v>
      </c>
      <c r="I31" s="3">
        <f t="shared" si="0"/>
        <v>8.6999999999999966E-2</v>
      </c>
      <c r="J31">
        <v>80</v>
      </c>
      <c r="K31">
        <v>13</v>
      </c>
      <c r="L31">
        <v>9.5</v>
      </c>
    </row>
    <row r="32" spans="1:12" x14ac:dyDescent="0.2">
      <c r="A32">
        <v>73</v>
      </c>
      <c r="B32">
        <v>3564</v>
      </c>
      <c r="C32">
        <v>160</v>
      </c>
      <c r="D32">
        <v>0.61199999999999999</v>
      </c>
      <c r="E32" s="3">
        <v>0.17699999999999999</v>
      </c>
      <c r="F32">
        <v>0.127</v>
      </c>
      <c r="G32">
        <v>0.91500000000000004</v>
      </c>
      <c r="H32" s="3">
        <v>0.96699999999999997</v>
      </c>
      <c r="I32" s="3">
        <f t="shared" si="0"/>
        <v>3.3000000000000029E-2</v>
      </c>
      <c r="J32">
        <v>35</v>
      </c>
      <c r="K32">
        <v>15</v>
      </c>
      <c r="L32">
        <v>7.6</v>
      </c>
    </row>
    <row r="33" spans="1:12" x14ac:dyDescent="0.2">
      <c r="A33">
        <v>97</v>
      </c>
      <c r="B33">
        <v>4634</v>
      </c>
      <c r="C33">
        <v>90</v>
      </c>
      <c r="D33">
        <v>0.61199999999999999</v>
      </c>
      <c r="E33" s="3">
        <v>8.3000000000000004E-2</v>
      </c>
      <c r="F33">
        <v>8.2000000000000003E-2</v>
      </c>
      <c r="G33">
        <v>0.76900000000000002</v>
      </c>
      <c r="H33" s="3">
        <v>0.97399999999999998</v>
      </c>
      <c r="I33" s="3">
        <f t="shared" si="0"/>
        <v>2.6000000000000023E-2</v>
      </c>
      <c r="J33">
        <v>22</v>
      </c>
      <c r="K33">
        <v>11</v>
      </c>
      <c r="L33">
        <v>14.6</v>
      </c>
    </row>
    <row r="34" spans="1:12" x14ac:dyDescent="0.2">
      <c r="A34">
        <v>28</v>
      </c>
      <c r="B34">
        <v>1256</v>
      </c>
      <c r="C34">
        <v>173</v>
      </c>
      <c r="D34">
        <v>0.61299999999999999</v>
      </c>
      <c r="E34" s="3">
        <v>0.191</v>
      </c>
      <c r="F34">
        <v>8.5999999999999993E-2</v>
      </c>
      <c r="G34">
        <v>0.748</v>
      </c>
      <c r="H34" s="3">
        <v>0.94399999999999995</v>
      </c>
      <c r="I34" s="3">
        <f t="shared" si="0"/>
        <v>5.600000000000005E-2</v>
      </c>
      <c r="J34">
        <v>67</v>
      </c>
      <c r="K34">
        <v>11</v>
      </c>
      <c r="L34">
        <v>2.4</v>
      </c>
    </row>
    <row r="35" spans="1:12" x14ac:dyDescent="0.2">
      <c r="A35">
        <v>91</v>
      </c>
      <c r="B35">
        <v>4420</v>
      </c>
      <c r="C35">
        <v>120</v>
      </c>
      <c r="D35">
        <v>0.61299999999999999</v>
      </c>
      <c r="E35" s="3">
        <v>6.7000000000000004E-2</v>
      </c>
      <c r="F35">
        <v>0.17599999999999999</v>
      </c>
      <c r="G35">
        <v>0.83599999999999997</v>
      </c>
      <c r="H35" s="3">
        <v>0.97199999999999998</v>
      </c>
      <c r="I35" s="3">
        <f t="shared" si="0"/>
        <v>2.8000000000000025E-2</v>
      </c>
      <c r="J35">
        <v>36</v>
      </c>
      <c r="K35">
        <v>16</v>
      </c>
      <c r="L35">
        <v>8.6</v>
      </c>
    </row>
    <row r="36" spans="1:12" x14ac:dyDescent="0.2">
      <c r="A36">
        <v>24</v>
      </c>
      <c r="B36">
        <v>1138</v>
      </c>
      <c r="C36">
        <v>52</v>
      </c>
      <c r="D36">
        <v>0.61399999999999999</v>
      </c>
      <c r="E36" s="3">
        <v>0.16700000000000001</v>
      </c>
      <c r="F36">
        <v>0.19500000000000001</v>
      </c>
      <c r="G36">
        <v>0.91600000000000004</v>
      </c>
      <c r="H36" s="3">
        <v>0.95</v>
      </c>
      <c r="I36" s="3">
        <f t="shared" si="0"/>
        <v>5.0000000000000044E-2</v>
      </c>
      <c r="J36">
        <v>15</v>
      </c>
      <c r="K36">
        <v>15</v>
      </c>
      <c r="L36">
        <v>3.3</v>
      </c>
    </row>
    <row r="37" spans="1:12" x14ac:dyDescent="0.2">
      <c r="A37">
        <v>30</v>
      </c>
      <c r="B37">
        <v>1470</v>
      </c>
      <c r="C37">
        <v>146</v>
      </c>
      <c r="D37">
        <v>0.61399999999999999</v>
      </c>
      <c r="E37" s="3">
        <v>4.1000000000000002E-2</v>
      </c>
      <c r="F37">
        <v>0.251</v>
      </c>
      <c r="G37">
        <v>0.77300000000000002</v>
      </c>
      <c r="H37" s="3">
        <v>0.98299999999999998</v>
      </c>
      <c r="I37" s="3">
        <f t="shared" si="0"/>
        <v>1.7000000000000015E-2</v>
      </c>
      <c r="J37">
        <v>63</v>
      </c>
      <c r="K37">
        <v>14</v>
      </c>
      <c r="L37">
        <v>4.5</v>
      </c>
    </row>
    <row r="38" spans="1:12" x14ac:dyDescent="0.2">
      <c r="A38">
        <v>52</v>
      </c>
      <c r="B38">
        <v>2556</v>
      </c>
      <c r="C38">
        <v>183</v>
      </c>
      <c r="D38">
        <v>0.61499999999999999</v>
      </c>
      <c r="E38" s="3">
        <v>0.17799999999999999</v>
      </c>
      <c r="F38">
        <v>0.152</v>
      </c>
      <c r="G38">
        <v>0.82099999999999995</v>
      </c>
      <c r="H38" s="3">
        <v>0.98699999999999999</v>
      </c>
      <c r="I38" s="3">
        <f t="shared" si="0"/>
        <v>1.3000000000000012E-2</v>
      </c>
      <c r="J38">
        <v>16</v>
      </c>
      <c r="K38">
        <v>7</v>
      </c>
      <c r="L38">
        <v>12</v>
      </c>
    </row>
    <row r="39" spans="1:12" x14ac:dyDescent="0.2">
      <c r="A39">
        <v>60</v>
      </c>
      <c r="B39">
        <v>2739</v>
      </c>
      <c r="C39">
        <v>97</v>
      </c>
      <c r="D39">
        <v>0.61499999999999999</v>
      </c>
      <c r="E39" s="3">
        <v>0.152</v>
      </c>
      <c r="F39">
        <v>0.253</v>
      </c>
      <c r="G39">
        <v>0.97699999999999998</v>
      </c>
      <c r="H39" s="3">
        <v>0.90400000000000003</v>
      </c>
      <c r="I39" s="3">
        <f t="shared" si="0"/>
        <v>9.5999999999999974E-2</v>
      </c>
      <c r="J39">
        <v>54</v>
      </c>
      <c r="K39">
        <v>18</v>
      </c>
      <c r="L39">
        <v>3.1</v>
      </c>
    </row>
    <row r="40" spans="1:12" x14ac:dyDescent="0.2">
      <c r="A40">
        <v>54</v>
      </c>
      <c r="B40">
        <v>2625</v>
      </c>
      <c r="C40">
        <v>71</v>
      </c>
      <c r="D40">
        <v>0.61599999999999999</v>
      </c>
      <c r="E40" s="3">
        <v>9.4E-2</v>
      </c>
      <c r="F40">
        <v>8.7999999999999995E-2</v>
      </c>
      <c r="G40">
        <v>0.86399999999999999</v>
      </c>
      <c r="H40" s="3">
        <v>0.95599999999999996</v>
      </c>
      <c r="I40" s="3">
        <f t="shared" si="0"/>
        <v>4.4000000000000039E-2</v>
      </c>
      <c r="J40">
        <v>53</v>
      </c>
      <c r="K40">
        <v>4</v>
      </c>
      <c r="L40">
        <v>13.3</v>
      </c>
    </row>
    <row r="41" spans="1:12" x14ac:dyDescent="0.2">
      <c r="A41">
        <v>62</v>
      </c>
      <c r="B41">
        <v>2997</v>
      </c>
      <c r="C41">
        <v>136</v>
      </c>
      <c r="D41">
        <v>0.61599999999999999</v>
      </c>
      <c r="E41" s="3">
        <v>6.3E-2</v>
      </c>
      <c r="F41">
        <v>0.17299999999999999</v>
      </c>
      <c r="G41">
        <v>0.77200000000000002</v>
      </c>
      <c r="H41" s="3">
        <v>0.92300000000000004</v>
      </c>
      <c r="I41" s="3">
        <f t="shared" si="0"/>
        <v>7.6999999999999957E-2</v>
      </c>
      <c r="J41">
        <v>94</v>
      </c>
      <c r="K41">
        <v>16</v>
      </c>
      <c r="L41">
        <v>5.5</v>
      </c>
    </row>
    <row r="42" spans="1:12" x14ac:dyDescent="0.2">
      <c r="A42">
        <v>66</v>
      </c>
      <c r="B42">
        <v>3097</v>
      </c>
      <c r="C42">
        <v>104</v>
      </c>
      <c r="D42">
        <v>0.61599999999999999</v>
      </c>
      <c r="E42" s="3">
        <v>0.192</v>
      </c>
      <c r="F42">
        <v>0.19400000000000001</v>
      </c>
      <c r="G42">
        <v>0.89</v>
      </c>
      <c r="H42" s="3">
        <v>0.97399999999999998</v>
      </c>
      <c r="I42" s="3">
        <f t="shared" si="0"/>
        <v>2.6000000000000023E-2</v>
      </c>
      <c r="J42">
        <v>62</v>
      </c>
      <c r="K42">
        <v>10</v>
      </c>
      <c r="L42">
        <v>4.2</v>
      </c>
    </row>
    <row r="43" spans="1:12" x14ac:dyDescent="0.2">
      <c r="A43">
        <v>73</v>
      </c>
      <c r="B43">
        <v>3422</v>
      </c>
      <c r="C43">
        <v>50</v>
      </c>
      <c r="D43">
        <v>0.61599999999999999</v>
      </c>
      <c r="E43" s="3">
        <v>6.7000000000000004E-2</v>
      </c>
      <c r="F43">
        <v>0.154</v>
      </c>
      <c r="G43">
        <v>0.94799999999999995</v>
      </c>
      <c r="H43" s="3">
        <v>0.95299999999999996</v>
      </c>
      <c r="I43" s="3">
        <f t="shared" si="0"/>
        <v>4.7000000000000042E-2</v>
      </c>
      <c r="J43">
        <v>9</v>
      </c>
      <c r="K43">
        <v>15</v>
      </c>
      <c r="L43">
        <v>8.6999999999999993</v>
      </c>
    </row>
    <row r="44" spans="1:12" x14ac:dyDescent="0.2">
      <c r="A44">
        <v>84</v>
      </c>
      <c r="B44">
        <v>4140</v>
      </c>
      <c r="C44">
        <v>178</v>
      </c>
      <c r="D44">
        <v>0.61599999999999999</v>
      </c>
      <c r="E44" s="3">
        <v>0.13600000000000001</v>
      </c>
      <c r="F44">
        <v>0.26</v>
      </c>
      <c r="G44">
        <v>0.87</v>
      </c>
      <c r="H44" s="3">
        <v>0.96199999999999997</v>
      </c>
      <c r="I44" s="3">
        <f t="shared" si="0"/>
        <v>3.8000000000000034E-2</v>
      </c>
      <c r="J44">
        <v>46</v>
      </c>
      <c r="K44">
        <v>3</v>
      </c>
      <c r="L44">
        <v>8</v>
      </c>
    </row>
    <row r="45" spans="1:12" x14ac:dyDescent="0.2">
      <c r="A45">
        <v>87</v>
      </c>
      <c r="B45">
        <v>4225</v>
      </c>
      <c r="C45">
        <v>111</v>
      </c>
      <c r="D45">
        <v>0.61599999999999999</v>
      </c>
      <c r="E45" s="3">
        <v>0.14599999999999999</v>
      </c>
      <c r="F45">
        <v>7.1999999999999995E-2</v>
      </c>
      <c r="G45">
        <v>0.80500000000000005</v>
      </c>
      <c r="H45" s="3">
        <v>0.90300000000000002</v>
      </c>
      <c r="I45" s="3">
        <f t="shared" si="0"/>
        <v>9.6999999999999975E-2</v>
      </c>
      <c r="J45">
        <v>70</v>
      </c>
      <c r="K45">
        <v>18</v>
      </c>
      <c r="L45">
        <v>5</v>
      </c>
    </row>
    <row r="46" spans="1:12" x14ac:dyDescent="0.2">
      <c r="A46">
        <v>96</v>
      </c>
      <c r="B46">
        <v>4583</v>
      </c>
      <c r="C46">
        <v>178</v>
      </c>
      <c r="D46">
        <v>0.61699999999999999</v>
      </c>
      <c r="E46" s="3">
        <v>0.17399999999999999</v>
      </c>
      <c r="F46">
        <v>0.191</v>
      </c>
      <c r="G46">
        <v>0.82299999999999995</v>
      </c>
      <c r="H46" s="3">
        <v>0.90900000000000003</v>
      </c>
      <c r="I46" s="3">
        <f t="shared" si="0"/>
        <v>9.099999999999997E-2</v>
      </c>
      <c r="J46">
        <v>2</v>
      </c>
      <c r="K46">
        <v>4</v>
      </c>
      <c r="L46">
        <v>14.5</v>
      </c>
    </row>
    <row r="47" spans="1:12" x14ac:dyDescent="0.2">
      <c r="A47">
        <v>58</v>
      </c>
      <c r="B47">
        <v>2751</v>
      </c>
      <c r="C47">
        <v>159</v>
      </c>
      <c r="D47">
        <v>0.61799999999999999</v>
      </c>
      <c r="E47" s="3">
        <v>0.121</v>
      </c>
      <c r="F47">
        <v>0.223</v>
      </c>
      <c r="G47">
        <v>0.85599999999999998</v>
      </c>
      <c r="H47" s="3">
        <v>0.97099999999999997</v>
      </c>
      <c r="I47" s="3">
        <f t="shared" si="0"/>
        <v>2.9000000000000026E-2</v>
      </c>
      <c r="J47">
        <v>70</v>
      </c>
      <c r="K47">
        <v>12</v>
      </c>
      <c r="L47">
        <v>7.7</v>
      </c>
    </row>
    <row r="48" spans="1:12" x14ac:dyDescent="0.2">
      <c r="A48">
        <v>61</v>
      </c>
      <c r="B48">
        <v>2827</v>
      </c>
      <c r="C48">
        <v>97</v>
      </c>
      <c r="D48">
        <v>0.61799999999999999</v>
      </c>
      <c r="E48" s="3">
        <v>3.3000000000000002E-2</v>
      </c>
      <c r="F48">
        <v>5.5E-2</v>
      </c>
      <c r="G48">
        <v>0.72499999999999998</v>
      </c>
      <c r="H48" s="3">
        <v>0.98799999999999999</v>
      </c>
      <c r="I48" s="3">
        <f t="shared" si="0"/>
        <v>1.2000000000000011E-2</v>
      </c>
      <c r="J48">
        <v>56</v>
      </c>
      <c r="K48">
        <v>18</v>
      </c>
      <c r="L48">
        <v>7</v>
      </c>
    </row>
    <row r="49" spans="1:12" x14ac:dyDescent="0.2">
      <c r="A49">
        <v>29</v>
      </c>
      <c r="B49">
        <v>1211</v>
      </c>
      <c r="C49">
        <v>115</v>
      </c>
      <c r="D49">
        <v>0.61899999999999999</v>
      </c>
      <c r="E49" s="3">
        <v>6.3E-2</v>
      </c>
      <c r="F49">
        <v>0.19400000000000001</v>
      </c>
      <c r="G49">
        <v>0.90900000000000003</v>
      </c>
      <c r="H49" s="3">
        <v>0.98699999999999999</v>
      </c>
      <c r="I49" s="3">
        <f t="shared" si="0"/>
        <v>1.3000000000000012E-2</v>
      </c>
      <c r="J49">
        <v>44</v>
      </c>
      <c r="K49">
        <v>3</v>
      </c>
      <c r="L49">
        <v>6</v>
      </c>
    </row>
    <row r="50" spans="1:12" x14ac:dyDescent="0.2">
      <c r="A50">
        <v>64</v>
      </c>
      <c r="B50">
        <v>3006</v>
      </c>
      <c r="C50">
        <v>94</v>
      </c>
      <c r="D50">
        <v>0.61899999999999999</v>
      </c>
      <c r="E50" s="3">
        <v>0.19</v>
      </c>
      <c r="F50">
        <v>0.21099999999999999</v>
      </c>
      <c r="G50">
        <v>0.81499999999999995</v>
      </c>
      <c r="H50" s="3">
        <v>0.95499999999999996</v>
      </c>
      <c r="I50" s="3">
        <f t="shared" si="0"/>
        <v>4.500000000000004E-2</v>
      </c>
      <c r="J50">
        <v>43</v>
      </c>
      <c r="K50">
        <v>15</v>
      </c>
      <c r="L50">
        <v>1.1000000000000001</v>
      </c>
    </row>
    <row r="51" spans="1:12" x14ac:dyDescent="0.2">
      <c r="A51">
        <v>94</v>
      </c>
      <c r="B51">
        <v>4619</v>
      </c>
      <c r="C51">
        <v>142</v>
      </c>
      <c r="D51">
        <v>0.61899999999999999</v>
      </c>
      <c r="E51" s="3">
        <v>0.19400000000000001</v>
      </c>
      <c r="F51">
        <v>0.23599999999999999</v>
      </c>
      <c r="G51">
        <v>0.98299999999999998</v>
      </c>
      <c r="H51" s="3">
        <v>0.93300000000000005</v>
      </c>
      <c r="I51" s="3">
        <f t="shared" si="0"/>
        <v>6.6999999999999948E-2</v>
      </c>
      <c r="J51">
        <v>70</v>
      </c>
      <c r="K51">
        <v>4</v>
      </c>
      <c r="L51">
        <v>4.5999999999999996</v>
      </c>
    </row>
    <row r="52" spans="1:12" x14ac:dyDescent="0.2">
      <c r="A52">
        <v>95</v>
      </c>
      <c r="B52">
        <v>4708</v>
      </c>
      <c r="C52">
        <v>198</v>
      </c>
      <c r="D52">
        <v>0.61899999999999999</v>
      </c>
      <c r="E52" s="3">
        <v>0.17699999999999999</v>
      </c>
      <c r="F52">
        <v>0.122</v>
      </c>
      <c r="G52">
        <v>0.93400000000000005</v>
      </c>
      <c r="H52" s="3">
        <v>0.95599999999999996</v>
      </c>
      <c r="I52" s="3">
        <f t="shared" si="0"/>
        <v>4.4000000000000039E-2</v>
      </c>
      <c r="J52">
        <v>73</v>
      </c>
      <c r="K52">
        <v>3</v>
      </c>
      <c r="L52">
        <v>9.6</v>
      </c>
    </row>
    <row r="53" spans="1:12" x14ac:dyDescent="0.2">
      <c r="A53">
        <v>28</v>
      </c>
      <c r="B53">
        <v>1299</v>
      </c>
      <c r="C53">
        <v>92</v>
      </c>
      <c r="D53">
        <v>0.62</v>
      </c>
      <c r="E53" s="3">
        <v>9.8000000000000004E-2</v>
      </c>
      <c r="F53">
        <v>0.253</v>
      </c>
      <c r="G53">
        <v>0.80100000000000005</v>
      </c>
      <c r="H53" s="3">
        <v>0.97699999999999998</v>
      </c>
      <c r="I53" s="3">
        <f t="shared" si="0"/>
        <v>2.300000000000002E-2</v>
      </c>
      <c r="J53">
        <v>91</v>
      </c>
      <c r="K53">
        <v>0</v>
      </c>
      <c r="L53">
        <v>5.5</v>
      </c>
    </row>
    <row r="54" spans="1:12" x14ac:dyDescent="0.2">
      <c r="A54">
        <v>34</v>
      </c>
      <c r="B54">
        <v>1427</v>
      </c>
      <c r="C54">
        <v>162</v>
      </c>
      <c r="D54">
        <v>0.62</v>
      </c>
      <c r="E54" s="3">
        <v>0.13300000000000001</v>
      </c>
      <c r="F54">
        <v>0.17499999999999999</v>
      </c>
      <c r="G54">
        <v>0.72399999999999998</v>
      </c>
      <c r="H54" s="3">
        <v>0.93100000000000005</v>
      </c>
      <c r="I54" s="3">
        <f t="shared" si="0"/>
        <v>6.899999999999995E-2</v>
      </c>
      <c r="J54">
        <v>32</v>
      </c>
      <c r="K54">
        <v>16</v>
      </c>
      <c r="L54">
        <v>5.8</v>
      </c>
    </row>
    <row r="55" spans="1:12" x14ac:dyDescent="0.2">
      <c r="A55">
        <v>73</v>
      </c>
      <c r="B55">
        <v>3437</v>
      </c>
      <c r="C55">
        <v>44</v>
      </c>
      <c r="D55">
        <v>0.62</v>
      </c>
      <c r="E55" s="3">
        <v>0.01</v>
      </c>
      <c r="F55">
        <v>0.184</v>
      </c>
      <c r="G55">
        <v>0.92400000000000004</v>
      </c>
      <c r="H55" s="3">
        <v>0.97199999999999998</v>
      </c>
      <c r="I55" s="3">
        <f t="shared" si="0"/>
        <v>2.8000000000000025E-2</v>
      </c>
      <c r="J55">
        <v>64</v>
      </c>
      <c r="K55">
        <v>0</v>
      </c>
      <c r="L55">
        <v>11.9</v>
      </c>
    </row>
    <row r="56" spans="1:12" x14ac:dyDescent="0.2">
      <c r="A56">
        <v>79</v>
      </c>
      <c r="B56">
        <v>3880</v>
      </c>
      <c r="C56">
        <v>179</v>
      </c>
      <c r="D56">
        <v>0.62</v>
      </c>
      <c r="E56" s="3">
        <v>9.1999999999999998E-2</v>
      </c>
      <c r="F56">
        <v>0.28399999999999997</v>
      </c>
      <c r="G56">
        <v>0.72899999999999998</v>
      </c>
      <c r="H56" s="3">
        <v>0.93899999999999995</v>
      </c>
      <c r="I56" s="3">
        <f t="shared" si="0"/>
        <v>6.1000000000000054E-2</v>
      </c>
      <c r="J56">
        <v>85</v>
      </c>
      <c r="K56">
        <v>14</v>
      </c>
      <c r="L56">
        <v>3.8</v>
      </c>
    </row>
    <row r="57" spans="1:12" x14ac:dyDescent="0.2">
      <c r="A57">
        <v>83</v>
      </c>
      <c r="B57">
        <v>3920</v>
      </c>
      <c r="C57">
        <v>63</v>
      </c>
      <c r="D57">
        <v>0.62</v>
      </c>
      <c r="E57" s="3">
        <v>4.4999999999999998E-2</v>
      </c>
      <c r="F57">
        <v>0.24199999999999999</v>
      </c>
      <c r="G57">
        <v>0.90400000000000003</v>
      </c>
      <c r="H57" s="3">
        <v>0.91500000000000004</v>
      </c>
      <c r="I57" s="3">
        <f t="shared" si="0"/>
        <v>8.4999999999999964E-2</v>
      </c>
      <c r="J57">
        <v>87</v>
      </c>
      <c r="K57">
        <v>0</v>
      </c>
      <c r="L57">
        <v>14.6</v>
      </c>
    </row>
    <row r="58" spans="1:12" x14ac:dyDescent="0.2">
      <c r="A58">
        <v>93</v>
      </c>
      <c r="B58">
        <v>4384</v>
      </c>
      <c r="C58">
        <v>38</v>
      </c>
      <c r="D58">
        <v>0.62</v>
      </c>
      <c r="E58" s="3">
        <v>2.9000000000000001E-2</v>
      </c>
      <c r="F58">
        <v>7.0000000000000007E-2</v>
      </c>
      <c r="G58">
        <v>0.77100000000000002</v>
      </c>
      <c r="H58" s="3">
        <v>0.94899999999999995</v>
      </c>
      <c r="I58" s="3">
        <f t="shared" si="0"/>
        <v>5.1000000000000045E-2</v>
      </c>
      <c r="J58">
        <v>38</v>
      </c>
      <c r="K58">
        <v>13</v>
      </c>
      <c r="L58">
        <v>9.1999999999999993</v>
      </c>
    </row>
    <row r="59" spans="1:12" x14ac:dyDescent="0.2">
      <c r="A59">
        <v>96</v>
      </c>
      <c r="B59">
        <v>4735</v>
      </c>
      <c r="C59">
        <v>196</v>
      </c>
      <c r="D59">
        <v>0.62</v>
      </c>
      <c r="E59" s="3">
        <v>5.7000000000000002E-2</v>
      </c>
      <c r="F59">
        <v>0.20699999999999999</v>
      </c>
      <c r="G59">
        <v>0.79700000000000004</v>
      </c>
      <c r="H59" s="3">
        <v>0.92500000000000004</v>
      </c>
      <c r="I59" s="3">
        <f t="shared" si="0"/>
        <v>7.4999999999999956E-2</v>
      </c>
      <c r="J59">
        <v>24</v>
      </c>
      <c r="K59">
        <v>5</v>
      </c>
      <c r="L59">
        <v>14.1</v>
      </c>
    </row>
    <row r="60" spans="1:12" x14ac:dyDescent="0.2">
      <c r="A60">
        <v>51</v>
      </c>
      <c r="B60">
        <v>2355</v>
      </c>
      <c r="C60">
        <v>109</v>
      </c>
      <c r="D60">
        <v>0.621</v>
      </c>
      <c r="E60" s="3">
        <v>0.189</v>
      </c>
      <c r="F60">
        <v>0.23599999999999999</v>
      </c>
      <c r="G60">
        <v>0.76800000000000002</v>
      </c>
      <c r="H60" s="3">
        <v>0.94599999999999995</v>
      </c>
      <c r="I60" s="3">
        <f t="shared" si="0"/>
        <v>5.4000000000000048E-2</v>
      </c>
      <c r="J60">
        <v>63</v>
      </c>
      <c r="K60">
        <v>19</v>
      </c>
      <c r="L60">
        <v>8</v>
      </c>
    </row>
    <row r="61" spans="1:12" x14ac:dyDescent="0.2">
      <c r="A61">
        <v>95</v>
      </c>
      <c r="B61">
        <v>4618</v>
      </c>
      <c r="C61">
        <v>109</v>
      </c>
      <c r="D61">
        <v>0.621</v>
      </c>
      <c r="E61" s="3">
        <v>0.17299999999999999</v>
      </c>
      <c r="F61">
        <v>0.154</v>
      </c>
      <c r="G61">
        <v>0.79200000000000004</v>
      </c>
      <c r="H61" s="3">
        <v>0.90200000000000002</v>
      </c>
      <c r="I61" s="3">
        <f t="shared" si="0"/>
        <v>9.7999999999999976E-2</v>
      </c>
      <c r="J61">
        <v>60</v>
      </c>
      <c r="K61">
        <v>5</v>
      </c>
      <c r="L61">
        <v>1.2</v>
      </c>
    </row>
    <row r="62" spans="1:12" x14ac:dyDescent="0.2">
      <c r="A62">
        <v>50</v>
      </c>
      <c r="B62">
        <v>2239</v>
      </c>
      <c r="C62">
        <v>88</v>
      </c>
      <c r="D62">
        <v>0.622</v>
      </c>
      <c r="E62" s="3">
        <v>0.19900000000000001</v>
      </c>
      <c r="F62">
        <v>0.29799999999999999</v>
      </c>
      <c r="G62">
        <v>0.95</v>
      </c>
      <c r="H62" s="3">
        <v>0.93</v>
      </c>
      <c r="I62" s="3">
        <f t="shared" si="0"/>
        <v>6.9999999999999951E-2</v>
      </c>
      <c r="J62">
        <v>83</v>
      </c>
      <c r="K62">
        <v>18</v>
      </c>
      <c r="L62">
        <v>2.9</v>
      </c>
    </row>
    <row r="63" spans="1:12" x14ac:dyDescent="0.2">
      <c r="A63">
        <v>70</v>
      </c>
      <c r="B63">
        <v>3409</v>
      </c>
      <c r="C63">
        <v>89</v>
      </c>
      <c r="D63">
        <v>0.622</v>
      </c>
      <c r="E63" s="3">
        <v>0.14099999999999999</v>
      </c>
      <c r="F63">
        <v>0.21099999999999999</v>
      </c>
      <c r="G63">
        <v>0.878</v>
      </c>
      <c r="H63" s="3">
        <v>0.97</v>
      </c>
      <c r="I63" s="3">
        <f t="shared" si="0"/>
        <v>3.0000000000000027E-2</v>
      </c>
      <c r="J63">
        <v>87</v>
      </c>
      <c r="K63">
        <v>11</v>
      </c>
      <c r="L63">
        <v>4.5</v>
      </c>
    </row>
    <row r="64" spans="1:12" x14ac:dyDescent="0.2">
      <c r="A64">
        <v>70</v>
      </c>
      <c r="B64">
        <v>3459</v>
      </c>
      <c r="C64">
        <v>154</v>
      </c>
      <c r="D64">
        <v>0.622</v>
      </c>
      <c r="E64" s="3">
        <v>4.3999999999999997E-2</v>
      </c>
      <c r="F64">
        <v>6.3E-2</v>
      </c>
      <c r="G64">
        <v>0.93</v>
      </c>
      <c r="H64" s="3">
        <v>0.91600000000000004</v>
      </c>
      <c r="I64" s="3">
        <f t="shared" si="0"/>
        <v>8.3999999999999964E-2</v>
      </c>
      <c r="J64">
        <v>64</v>
      </c>
      <c r="K64">
        <v>5</v>
      </c>
      <c r="L64">
        <v>14.1</v>
      </c>
    </row>
    <row r="65" spans="1:12" x14ac:dyDescent="0.2">
      <c r="A65">
        <v>99</v>
      </c>
      <c r="B65">
        <v>4769</v>
      </c>
      <c r="C65">
        <v>70</v>
      </c>
      <c r="D65">
        <v>0.622</v>
      </c>
      <c r="E65" s="3">
        <v>9.1999999999999998E-2</v>
      </c>
      <c r="F65">
        <v>0.113</v>
      </c>
      <c r="G65">
        <v>0.76</v>
      </c>
      <c r="H65" s="3">
        <v>0.90400000000000003</v>
      </c>
      <c r="I65" s="3">
        <f t="shared" si="0"/>
        <v>9.5999999999999974E-2</v>
      </c>
      <c r="J65">
        <v>19</v>
      </c>
      <c r="K65">
        <v>17</v>
      </c>
      <c r="L65">
        <v>7.4</v>
      </c>
    </row>
    <row r="66" spans="1:12" x14ac:dyDescent="0.2">
      <c r="A66">
        <v>75</v>
      </c>
      <c r="B66">
        <v>3497</v>
      </c>
      <c r="C66">
        <v>148</v>
      </c>
      <c r="D66">
        <v>0.623</v>
      </c>
      <c r="E66" s="3">
        <v>0.125</v>
      </c>
      <c r="F66">
        <v>6.6000000000000003E-2</v>
      </c>
      <c r="G66">
        <v>0.90400000000000003</v>
      </c>
      <c r="H66" s="3">
        <v>0.98</v>
      </c>
      <c r="I66" s="3">
        <f t="shared" si="0"/>
        <v>2.0000000000000018E-2</v>
      </c>
      <c r="J66">
        <v>5</v>
      </c>
      <c r="K66">
        <v>11</v>
      </c>
      <c r="L66">
        <v>5.0999999999999996</v>
      </c>
    </row>
    <row r="67" spans="1:12" x14ac:dyDescent="0.2">
      <c r="A67">
        <v>99</v>
      </c>
      <c r="B67">
        <v>4699</v>
      </c>
      <c r="C67">
        <v>190</v>
      </c>
      <c r="D67">
        <v>0.623</v>
      </c>
      <c r="E67" s="3">
        <v>5.0999999999999997E-2</v>
      </c>
      <c r="F67">
        <v>9.8000000000000004E-2</v>
      </c>
      <c r="G67">
        <v>0.99</v>
      </c>
      <c r="H67" s="3">
        <v>0.91400000000000003</v>
      </c>
      <c r="I67" s="3">
        <f t="shared" ref="I67:I130" si="1">1-H67</f>
        <v>8.5999999999999965E-2</v>
      </c>
      <c r="J67">
        <v>2</v>
      </c>
      <c r="K67">
        <v>0</v>
      </c>
      <c r="L67">
        <v>9.1999999999999993</v>
      </c>
    </row>
    <row r="68" spans="1:12" x14ac:dyDescent="0.2">
      <c r="A68">
        <v>100</v>
      </c>
      <c r="B68">
        <v>4809</v>
      </c>
      <c r="C68">
        <v>172</v>
      </c>
      <c r="D68">
        <v>0.623</v>
      </c>
      <c r="E68" s="3">
        <v>0.17899999999999999</v>
      </c>
      <c r="F68">
        <v>0.22800000000000001</v>
      </c>
      <c r="G68">
        <v>0.88100000000000001</v>
      </c>
      <c r="H68" s="3">
        <v>0.93300000000000005</v>
      </c>
      <c r="I68" s="3">
        <f t="shared" si="1"/>
        <v>6.6999999999999948E-2</v>
      </c>
      <c r="J68">
        <v>13</v>
      </c>
      <c r="K68">
        <v>12</v>
      </c>
      <c r="L68">
        <v>9.9</v>
      </c>
    </row>
    <row r="69" spans="1:12" x14ac:dyDescent="0.2">
      <c r="A69">
        <v>103</v>
      </c>
      <c r="B69">
        <v>4976</v>
      </c>
      <c r="C69">
        <v>70</v>
      </c>
      <c r="D69">
        <v>0.623</v>
      </c>
      <c r="E69" s="3">
        <v>0.106</v>
      </c>
      <c r="F69">
        <v>0.16400000000000001</v>
      </c>
      <c r="G69">
        <v>0.70499999999999996</v>
      </c>
      <c r="H69" s="3">
        <v>0.96499999999999997</v>
      </c>
      <c r="I69" s="3">
        <f t="shared" si="1"/>
        <v>3.5000000000000031E-2</v>
      </c>
      <c r="J69">
        <v>26</v>
      </c>
      <c r="K69">
        <v>2</v>
      </c>
      <c r="L69">
        <v>11.6</v>
      </c>
    </row>
    <row r="70" spans="1:12" x14ac:dyDescent="0.2">
      <c r="A70">
        <v>37</v>
      </c>
      <c r="B70">
        <v>1685</v>
      </c>
      <c r="C70">
        <v>128</v>
      </c>
      <c r="D70">
        <v>0.624</v>
      </c>
      <c r="E70" s="3">
        <v>9.9000000000000005E-2</v>
      </c>
      <c r="F70">
        <v>7.3999999999999996E-2</v>
      </c>
      <c r="G70">
        <v>0.81200000000000006</v>
      </c>
      <c r="H70" s="3">
        <v>0.93600000000000005</v>
      </c>
      <c r="I70" s="3">
        <f t="shared" si="1"/>
        <v>6.3999999999999946E-2</v>
      </c>
      <c r="J70">
        <v>38</v>
      </c>
      <c r="K70">
        <v>17</v>
      </c>
      <c r="L70">
        <v>11.7</v>
      </c>
    </row>
    <row r="71" spans="1:12" x14ac:dyDescent="0.2">
      <c r="A71">
        <v>63</v>
      </c>
      <c r="B71">
        <v>2877</v>
      </c>
      <c r="C71">
        <v>164</v>
      </c>
      <c r="D71">
        <v>0.624</v>
      </c>
      <c r="E71" s="3">
        <v>5.2999999999999999E-2</v>
      </c>
      <c r="F71">
        <v>0.2</v>
      </c>
      <c r="G71">
        <v>0.82499999999999996</v>
      </c>
      <c r="H71" s="3">
        <v>0.95099999999999996</v>
      </c>
      <c r="I71" s="3">
        <f t="shared" si="1"/>
        <v>4.9000000000000044E-2</v>
      </c>
      <c r="J71">
        <v>70</v>
      </c>
      <c r="K71">
        <v>4</v>
      </c>
      <c r="L71">
        <v>1.4</v>
      </c>
    </row>
    <row r="72" spans="1:12" x14ac:dyDescent="0.2">
      <c r="A72">
        <v>81</v>
      </c>
      <c r="B72">
        <v>3910</v>
      </c>
      <c r="C72">
        <v>70</v>
      </c>
      <c r="D72">
        <v>0.624</v>
      </c>
      <c r="E72" s="3">
        <v>0.19400000000000001</v>
      </c>
      <c r="F72">
        <v>9.2999999999999999E-2</v>
      </c>
      <c r="G72">
        <v>0.96499999999999997</v>
      </c>
      <c r="H72" s="3">
        <v>0.997</v>
      </c>
      <c r="I72" s="3">
        <f t="shared" si="1"/>
        <v>3.0000000000000027E-3</v>
      </c>
      <c r="J72">
        <v>99</v>
      </c>
      <c r="K72">
        <v>15</v>
      </c>
      <c r="L72">
        <v>7.7</v>
      </c>
    </row>
    <row r="73" spans="1:12" x14ac:dyDescent="0.2">
      <c r="A73">
        <v>96</v>
      </c>
      <c r="B73">
        <v>4600</v>
      </c>
      <c r="C73">
        <v>78</v>
      </c>
      <c r="D73">
        <v>0.624</v>
      </c>
      <c r="E73" s="3">
        <v>0.184</v>
      </c>
      <c r="F73">
        <v>9.9000000000000005E-2</v>
      </c>
      <c r="G73">
        <v>0.79800000000000004</v>
      </c>
      <c r="H73" s="3">
        <v>0.91</v>
      </c>
      <c r="I73" s="3">
        <f t="shared" si="1"/>
        <v>8.9999999999999969E-2</v>
      </c>
      <c r="J73">
        <v>19</v>
      </c>
      <c r="K73">
        <v>10</v>
      </c>
      <c r="L73">
        <v>8.1999999999999993</v>
      </c>
    </row>
    <row r="74" spans="1:12" x14ac:dyDescent="0.2">
      <c r="A74">
        <v>46</v>
      </c>
      <c r="B74">
        <v>2137</v>
      </c>
      <c r="C74">
        <v>117</v>
      </c>
      <c r="D74">
        <v>0.626</v>
      </c>
      <c r="E74" s="3">
        <v>0.191</v>
      </c>
      <c r="F74">
        <v>0.216</v>
      </c>
      <c r="G74">
        <v>0.78800000000000003</v>
      </c>
      <c r="H74" s="3">
        <v>0.92200000000000004</v>
      </c>
      <c r="I74" s="3">
        <f t="shared" si="1"/>
        <v>7.7999999999999958E-2</v>
      </c>
      <c r="J74">
        <v>92</v>
      </c>
      <c r="K74">
        <v>16</v>
      </c>
      <c r="L74">
        <v>5.7</v>
      </c>
    </row>
    <row r="75" spans="1:12" x14ac:dyDescent="0.2">
      <c r="A75">
        <v>77</v>
      </c>
      <c r="B75">
        <v>3809</v>
      </c>
      <c r="C75">
        <v>89</v>
      </c>
      <c r="D75">
        <v>0.626</v>
      </c>
      <c r="E75" s="3">
        <v>0.113</v>
      </c>
      <c r="F75">
        <v>8.6999999999999994E-2</v>
      </c>
      <c r="G75">
        <v>0.85799999999999998</v>
      </c>
      <c r="H75" s="3">
        <v>0.93</v>
      </c>
      <c r="I75" s="3">
        <f t="shared" si="1"/>
        <v>6.9999999999999951E-2</v>
      </c>
      <c r="J75">
        <v>25</v>
      </c>
      <c r="K75">
        <v>19</v>
      </c>
      <c r="L75">
        <v>1.6</v>
      </c>
    </row>
    <row r="76" spans="1:12" x14ac:dyDescent="0.2">
      <c r="A76">
        <v>29</v>
      </c>
      <c r="B76">
        <v>1357</v>
      </c>
      <c r="C76">
        <v>156</v>
      </c>
      <c r="D76">
        <v>0.627</v>
      </c>
      <c r="E76" s="3">
        <v>0.16500000000000001</v>
      </c>
      <c r="F76">
        <v>0.19700000000000001</v>
      </c>
      <c r="G76">
        <v>0.97799999999999998</v>
      </c>
      <c r="H76" s="3">
        <v>0.90100000000000002</v>
      </c>
      <c r="I76" s="3">
        <f t="shared" si="1"/>
        <v>9.8999999999999977E-2</v>
      </c>
      <c r="J76">
        <v>1</v>
      </c>
      <c r="K76">
        <v>7</v>
      </c>
      <c r="L76">
        <v>8.4</v>
      </c>
    </row>
    <row r="77" spans="1:12" x14ac:dyDescent="0.2">
      <c r="A77">
        <v>39</v>
      </c>
      <c r="B77">
        <v>1801</v>
      </c>
      <c r="C77">
        <v>175</v>
      </c>
      <c r="D77">
        <v>0.627</v>
      </c>
      <c r="E77" s="3">
        <v>3.1E-2</v>
      </c>
      <c r="F77">
        <v>0.17699999999999999</v>
      </c>
      <c r="G77">
        <v>0.72099999999999997</v>
      </c>
      <c r="H77" s="3">
        <v>0.90100000000000002</v>
      </c>
      <c r="I77" s="3">
        <f t="shared" si="1"/>
        <v>9.8999999999999977E-2</v>
      </c>
      <c r="J77">
        <v>28</v>
      </c>
      <c r="K77">
        <v>15</v>
      </c>
      <c r="L77">
        <v>14.7</v>
      </c>
    </row>
    <row r="78" spans="1:12" x14ac:dyDescent="0.2">
      <c r="A78">
        <v>77</v>
      </c>
      <c r="B78">
        <v>3612</v>
      </c>
      <c r="C78">
        <v>153</v>
      </c>
      <c r="D78">
        <v>0.627</v>
      </c>
      <c r="E78" s="3">
        <v>0.124</v>
      </c>
      <c r="F78">
        <v>0.28100000000000003</v>
      </c>
      <c r="G78">
        <v>0.81799999999999995</v>
      </c>
      <c r="H78" s="3">
        <v>0.996</v>
      </c>
      <c r="I78" s="3">
        <f t="shared" si="1"/>
        <v>4.0000000000000036E-3</v>
      </c>
      <c r="J78">
        <v>89</v>
      </c>
      <c r="K78">
        <v>9</v>
      </c>
      <c r="L78">
        <v>5.3</v>
      </c>
    </row>
    <row r="79" spans="1:12" x14ac:dyDescent="0.2">
      <c r="A79">
        <v>67</v>
      </c>
      <c r="B79">
        <v>3140</v>
      </c>
      <c r="C79">
        <v>64</v>
      </c>
      <c r="D79">
        <v>0.628</v>
      </c>
      <c r="E79" s="3">
        <v>0.106</v>
      </c>
      <c r="F79">
        <v>0.183</v>
      </c>
      <c r="G79">
        <v>0.751</v>
      </c>
      <c r="H79" s="3">
        <v>0.91700000000000004</v>
      </c>
      <c r="I79" s="3">
        <f t="shared" si="1"/>
        <v>8.2999999999999963E-2</v>
      </c>
      <c r="J79">
        <v>28</v>
      </c>
      <c r="K79">
        <v>0</v>
      </c>
      <c r="L79">
        <v>13.9</v>
      </c>
    </row>
    <row r="80" spans="1:12" x14ac:dyDescent="0.2">
      <c r="A80">
        <v>92</v>
      </c>
      <c r="B80">
        <v>4430</v>
      </c>
      <c r="C80">
        <v>177</v>
      </c>
      <c r="D80">
        <v>0.628</v>
      </c>
      <c r="E80" s="3">
        <v>0.123</v>
      </c>
      <c r="F80">
        <v>0.24399999999999999</v>
      </c>
      <c r="G80">
        <v>0.70699999999999996</v>
      </c>
      <c r="H80" s="3">
        <v>0.995</v>
      </c>
      <c r="I80" s="3">
        <f t="shared" si="1"/>
        <v>5.0000000000000044E-3</v>
      </c>
      <c r="J80">
        <v>52</v>
      </c>
      <c r="K80">
        <v>11</v>
      </c>
      <c r="L80">
        <v>6.2</v>
      </c>
    </row>
    <row r="81" spans="1:12" x14ac:dyDescent="0.2">
      <c r="A81">
        <v>48</v>
      </c>
      <c r="B81">
        <v>2196</v>
      </c>
      <c r="C81">
        <v>170</v>
      </c>
      <c r="D81">
        <v>0.63</v>
      </c>
      <c r="E81" s="3">
        <v>0.14099999999999999</v>
      </c>
      <c r="F81">
        <v>6.2E-2</v>
      </c>
      <c r="G81">
        <v>0.82299999999999995</v>
      </c>
      <c r="H81" s="3">
        <v>0.94399999999999995</v>
      </c>
      <c r="I81" s="3">
        <f t="shared" si="1"/>
        <v>5.600000000000005E-2</v>
      </c>
      <c r="J81">
        <v>55</v>
      </c>
      <c r="K81">
        <v>7</v>
      </c>
      <c r="L81">
        <v>10.9</v>
      </c>
    </row>
    <row r="82" spans="1:12" x14ac:dyDescent="0.2">
      <c r="A82">
        <v>52</v>
      </c>
      <c r="B82">
        <v>2381</v>
      </c>
      <c r="C82">
        <v>187</v>
      </c>
      <c r="D82">
        <v>0.63</v>
      </c>
      <c r="E82" s="3">
        <v>4.5999999999999999E-2</v>
      </c>
      <c r="F82">
        <v>0.24099999999999999</v>
      </c>
      <c r="G82">
        <v>0.79500000000000004</v>
      </c>
      <c r="H82" s="3">
        <v>0.94199999999999995</v>
      </c>
      <c r="I82" s="3">
        <f t="shared" si="1"/>
        <v>5.8000000000000052E-2</v>
      </c>
      <c r="J82">
        <v>63</v>
      </c>
      <c r="K82">
        <v>3</v>
      </c>
      <c r="L82">
        <v>12.5</v>
      </c>
    </row>
    <row r="83" spans="1:12" x14ac:dyDescent="0.2">
      <c r="A83">
        <v>71</v>
      </c>
      <c r="B83">
        <v>3369</v>
      </c>
      <c r="C83">
        <v>80</v>
      </c>
      <c r="D83">
        <v>0.63</v>
      </c>
      <c r="E83" s="3">
        <v>9.7000000000000003E-2</v>
      </c>
      <c r="F83">
        <v>0.13200000000000001</v>
      </c>
      <c r="G83">
        <v>0.96</v>
      </c>
      <c r="H83" s="3">
        <v>0.94499999999999995</v>
      </c>
      <c r="I83" s="3">
        <f t="shared" si="1"/>
        <v>5.5000000000000049E-2</v>
      </c>
      <c r="J83">
        <v>93</v>
      </c>
      <c r="K83">
        <v>18</v>
      </c>
      <c r="L83">
        <v>5.0999999999999996</v>
      </c>
    </row>
    <row r="84" spans="1:12" x14ac:dyDescent="0.2">
      <c r="A84">
        <v>24</v>
      </c>
      <c r="B84">
        <v>1007</v>
      </c>
      <c r="C84">
        <v>60</v>
      </c>
      <c r="D84">
        <v>0.63100000000000001</v>
      </c>
      <c r="E84" s="3">
        <v>0.126</v>
      </c>
      <c r="F84">
        <v>0.13900000000000001</v>
      </c>
      <c r="G84">
        <v>0.84299999999999997</v>
      </c>
      <c r="H84" s="3">
        <v>0.94399999999999995</v>
      </c>
      <c r="I84" s="3">
        <f t="shared" si="1"/>
        <v>5.600000000000005E-2</v>
      </c>
      <c r="J84">
        <v>24</v>
      </c>
      <c r="K84">
        <v>6</v>
      </c>
      <c r="L84">
        <v>2.7</v>
      </c>
    </row>
    <row r="85" spans="1:12" x14ac:dyDescent="0.2">
      <c r="A85">
        <v>53</v>
      </c>
      <c r="B85">
        <v>2541</v>
      </c>
      <c r="C85">
        <v>185</v>
      </c>
      <c r="D85">
        <v>0.63100000000000001</v>
      </c>
      <c r="E85" s="3">
        <v>0.112</v>
      </c>
      <c r="F85">
        <v>0.161</v>
      </c>
      <c r="G85">
        <v>0.96499999999999997</v>
      </c>
      <c r="H85" s="3">
        <v>0.92</v>
      </c>
      <c r="I85" s="3">
        <f t="shared" si="1"/>
        <v>7.999999999999996E-2</v>
      </c>
      <c r="J85">
        <v>8</v>
      </c>
      <c r="K85">
        <v>8</v>
      </c>
      <c r="L85">
        <v>9.5</v>
      </c>
    </row>
    <row r="86" spans="1:12" x14ac:dyDescent="0.2">
      <c r="A86">
        <v>60</v>
      </c>
      <c r="B86">
        <v>2932</v>
      </c>
      <c r="C86">
        <v>17</v>
      </c>
      <c r="D86">
        <v>0.63100000000000001</v>
      </c>
      <c r="E86" s="3">
        <v>0.159</v>
      </c>
      <c r="F86">
        <v>0.246</v>
      </c>
      <c r="G86">
        <v>0.73699999999999999</v>
      </c>
      <c r="H86" s="3">
        <v>0.97799999999999998</v>
      </c>
      <c r="I86" s="3">
        <f t="shared" si="1"/>
        <v>2.200000000000002E-2</v>
      </c>
      <c r="J86">
        <v>85</v>
      </c>
      <c r="K86">
        <v>4</v>
      </c>
      <c r="L86">
        <v>13.3</v>
      </c>
    </row>
    <row r="87" spans="1:12" x14ac:dyDescent="0.2">
      <c r="A87">
        <v>92</v>
      </c>
      <c r="B87">
        <v>4461</v>
      </c>
      <c r="C87">
        <v>143</v>
      </c>
      <c r="D87">
        <v>0.63100000000000001</v>
      </c>
      <c r="E87" s="3">
        <v>4.4999999999999998E-2</v>
      </c>
      <c r="F87">
        <v>0.14699999999999999</v>
      </c>
      <c r="G87">
        <v>0.72299999999999998</v>
      </c>
      <c r="H87" s="3">
        <v>0.96899999999999997</v>
      </c>
      <c r="I87" s="3">
        <f t="shared" si="1"/>
        <v>3.1000000000000028E-2</v>
      </c>
      <c r="J87">
        <v>22</v>
      </c>
      <c r="K87">
        <v>8</v>
      </c>
      <c r="L87">
        <v>7.8</v>
      </c>
    </row>
    <row r="88" spans="1:12" x14ac:dyDescent="0.2">
      <c r="A88">
        <v>96</v>
      </c>
      <c r="B88">
        <v>4588</v>
      </c>
      <c r="C88">
        <v>36</v>
      </c>
      <c r="D88">
        <v>0.63100000000000001</v>
      </c>
      <c r="E88" s="3">
        <v>0.19900000000000001</v>
      </c>
      <c r="F88">
        <v>0.126</v>
      </c>
      <c r="G88">
        <v>0.82699999999999996</v>
      </c>
      <c r="H88" s="3">
        <v>0.99099999999999999</v>
      </c>
      <c r="I88" s="3">
        <f t="shared" si="1"/>
        <v>9.000000000000008E-3</v>
      </c>
      <c r="J88">
        <v>4</v>
      </c>
      <c r="K88">
        <v>5</v>
      </c>
      <c r="L88">
        <v>6.5</v>
      </c>
    </row>
    <row r="89" spans="1:12" x14ac:dyDescent="0.2">
      <c r="A89">
        <v>72</v>
      </c>
      <c r="B89">
        <v>3535</v>
      </c>
      <c r="C89">
        <v>16</v>
      </c>
      <c r="D89">
        <v>0.63200000000000001</v>
      </c>
      <c r="E89" s="3">
        <v>0.06</v>
      </c>
      <c r="F89">
        <v>0.26300000000000001</v>
      </c>
      <c r="G89">
        <v>0.71299999999999997</v>
      </c>
      <c r="H89" s="3">
        <v>0.91900000000000004</v>
      </c>
      <c r="I89" s="3">
        <f t="shared" si="1"/>
        <v>8.0999999999999961E-2</v>
      </c>
      <c r="J89">
        <v>12</v>
      </c>
      <c r="K89">
        <v>11</v>
      </c>
      <c r="L89">
        <v>11.7</v>
      </c>
    </row>
    <row r="90" spans="1:12" x14ac:dyDescent="0.2">
      <c r="A90">
        <v>91</v>
      </c>
      <c r="B90">
        <v>4319</v>
      </c>
      <c r="C90">
        <v>137</v>
      </c>
      <c r="D90">
        <v>0.63200000000000001</v>
      </c>
      <c r="E90" s="3">
        <v>0.11</v>
      </c>
      <c r="F90">
        <v>0.16500000000000001</v>
      </c>
      <c r="G90">
        <v>0.81699999999999995</v>
      </c>
      <c r="H90" s="3">
        <v>0.94699999999999995</v>
      </c>
      <c r="I90" s="3">
        <f t="shared" si="1"/>
        <v>5.3000000000000047E-2</v>
      </c>
      <c r="J90">
        <v>71</v>
      </c>
      <c r="K90">
        <v>6</v>
      </c>
      <c r="L90">
        <v>5.2</v>
      </c>
    </row>
    <row r="91" spans="1:12" x14ac:dyDescent="0.2">
      <c r="A91">
        <v>91</v>
      </c>
      <c r="B91">
        <v>4523</v>
      </c>
      <c r="C91">
        <v>121</v>
      </c>
      <c r="D91">
        <v>0.63200000000000001</v>
      </c>
      <c r="E91" s="3">
        <v>0.11700000000000001</v>
      </c>
      <c r="F91">
        <v>0.247</v>
      </c>
      <c r="G91">
        <v>0.87</v>
      </c>
      <c r="H91" s="3">
        <v>0.92400000000000004</v>
      </c>
      <c r="I91" s="3">
        <f t="shared" si="1"/>
        <v>7.5999999999999956E-2</v>
      </c>
      <c r="J91">
        <v>5</v>
      </c>
      <c r="K91">
        <v>12</v>
      </c>
      <c r="L91">
        <v>7.8</v>
      </c>
    </row>
    <row r="92" spans="1:12" x14ac:dyDescent="0.2">
      <c r="A92">
        <v>27</v>
      </c>
      <c r="B92">
        <v>1136</v>
      </c>
      <c r="C92">
        <v>131</v>
      </c>
      <c r="D92">
        <v>0.63300000000000001</v>
      </c>
      <c r="E92" s="3">
        <v>0.19500000000000001</v>
      </c>
      <c r="F92">
        <v>5.2999999999999999E-2</v>
      </c>
      <c r="G92">
        <v>0.97499999999999998</v>
      </c>
      <c r="H92" s="3">
        <v>0.96499999999999997</v>
      </c>
      <c r="I92" s="3">
        <f t="shared" si="1"/>
        <v>3.5000000000000031E-2</v>
      </c>
      <c r="J92">
        <v>19</v>
      </c>
      <c r="K92">
        <v>14</v>
      </c>
      <c r="L92">
        <v>5</v>
      </c>
    </row>
    <row r="93" spans="1:12" x14ac:dyDescent="0.2">
      <c r="A93">
        <v>35</v>
      </c>
      <c r="B93">
        <v>1578</v>
      </c>
      <c r="C93">
        <v>31</v>
      </c>
      <c r="D93">
        <v>0.63300000000000001</v>
      </c>
      <c r="E93" s="3">
        <v>0.04</v>
      </c>
      <c r="F93">
        <v>0.14000000000000001</v>
      </c>
      <c r="G93">
        <v>0.93500000000000005</v>
      </c>
      <c r="H93" s="3">
        <v>0.98499999999999999</v>
      </c>
      <c r="I93" s="3">
        <f t="shared" si="1"/>
        <v>1.5000000000000013E-2</v>
      </c>
      <c r="J93">
        <v>8</v>
      </c>
      <c r="K93">
        <v>16</v>
      </c>
      <c r="L93">
        <v>7.1</v>
      </c>
    </row>
    <row r="94" spans="1:12" x14ac:dyDescent="0.2">
      <c r="A94">
        <v>58</v>
      </c>
      <c r="B94">
        <v>2722</v>
      </c>
      <c r="C94">
        <v>76</v>
      </c>
      <c r="D94">
        <v>0.63300000000000001</v>
      </c>
      <c r="E94" s="3">
        <v>1.7999999999999999E-2</v>
      </c>
      <c r="F94">
        <v>0.125</v>
      </c>
      <c r="G94">
        <v>0.81899999999999995</v>
      </c>
      <c r="H94" s="3">
        <v>0.91300000000000003</v>
      </c>
      <c r="I94" s="3">
        <f t="shared" si="1"/>
        <v>8.6999999999999966E-2</v>
      </c>
      <c r="J94">
        <v>64</v>
      </c>
      <c r="K94">
        <v>2</v>
      </c>
      <c r="L94">
        <v>13.2</v>
      </c>
    </row>
    <row r="95" spans="1:12" x14ac:dyDescent="0.2">
      <c r="A95">
        <v>76</v>
      </c>
      <c r="B95">
        <v>3750</v>
      </c>
      <c r="C95">
        <v>123</v>
      </c>
      <c r="D95">
        <v>0.63300000000000001</v>
      </c>
      <c r="E95" s="3">
        <v>0.17100000000000001</v>
      </c>
      <c r="F95">
        <v>5.5E-2</v>
      </c>
      <c r="G95">
        <v>0.89500000000000002</v>
      </c>
      <c r="H95" s="3">
        <v>0.98899999999999999</v>
      </c>
      <c r="I95" s="3">
        <f t="shared" si="1"/>
        <v>1.100000000000001E-2</v>
      </c>
      <c r="J95">
        <v>78</v>
      </c>
      <c r="K95">
        <v>9</v>
      </c>
      <c r="L95">
        <v>13.2</v>
      </c>
    </row>
    <row r="96" spans="1:12" x14ac:dyDescent="0.2">
      <c r="A96">
        <v>23</v>
      </c>
      <c r="B96">
        <v>1123</v>
      </c>
      <c r="C96">
        <v>158</v>
      </c>
      <c r="D96">
        <v>0.63400000000000001</v>
      </c>
      <c r="E96" s="3">
        <v>7.0000000000000007E-2</v>
      </c>
      <c r="F96">
        <v>0.26</v>
      </c>
      <c r="G96">
        <v>0.91100000000000003</v>
      </c>
      <c r="H96" s="3">
        <v>0.94399999999999995</v>
      </c>
      <c r="I96" s="3">
        <f t="shared" si="1"/>
        <v>5.600000000000005E-2</v>
      </c>
      <c r="J96">
        <v>64</v>
      </c>
      <c r="K96">
        <v>19</v>
      </c>
      <c r="L96">
        <v>1.5</v>
      </c>
    </row>
    <row r="97" spans="1:12" x14ac:dyDescent="0.2">
      <c r="A97">
        <v>49</v>
      </c>
      <c r="B97">
        <v>2249</v>
      </c>
      <c r="C97">
        <v>195</v>
      </c>
      <c r="D97">
        <v>0.63400000000000001</v>
      </c>
      <c r="E97" s="3">
        <v>0.17499999999999999</v>
      </c>
      <c r="F97">
        <v>0.151</v>
      </c>
      <c r="G97">
        <v>0.81100000000000005</v>
      </c>
      <c r="H97" s="3">
        <v>0.93</v>
      </c>
      <c r="I97" s="3">
        <f t="shared" si="1"/>
        <v>6.9999999999999951E-2</v>
      </c>
      <c r="J97">
        <v>51</v>
      </c>
      <c r="K97">
        <v>7</v>
      </c>
      <c r="L97">
        <v>6.4</v>
      </c>
    </row>
    <row r="98" spans="1:12" x14ac:dyDescent="0.2">
      <c r="A98">
        <v>76</v>
      </c>
      <c r="B98">
        <v>3607</v>
      </c>
      <c r="C98">
        <v>44</v>
      </c>
      <c r="D98">
        <v>0.63400000000000001</v>
      </c>
      <c r="E98" s="3">
        <v>9.4E-2</v>
      </c>
      <c r="F98">
        <v>0.16700000000000001</v>
      </c>
      <c r="G98">
        <v>0.755</v>
      </c>
      <c r="H98" s="3">
        <v>0.98599999999999999</v>
      </c>
      <c r="I98" s="3">
        <f t="shared" si="1"/>
        <v>1.4000000000000012E-2</v>
      </c>
      <c r="J98">
        <v>80</v>
      </c>
      <c r="K98">
        <v>9</v>
      </c>
      <c r="L98">
        <v>4</v>
      </c>
    </row>
    <row r="99" spans="1:12" x14ac:dyDescent="0.2">
      <c r="A99">
        <v>77</v>
      </c>
      <c r="B99">
        <v>3675</v>
      </c>
      <c r="C99">
        <v>161</v>
      </c>
      <c r="D99">
        <v>0.63400000000000001</v>
      </c>
      <c r="E99" s="3">
        <v>9.9000000000000005E-2</v>
      </c>
      <c r="F99">
        <v>0.20200000000000001</v>
      </c>
      <c r="G99">
        <v>0.81399999999999995</v>
      </c>
      <c r="H99" s="3">
        <v>0.98699999999999999</v>
      </c>
      <c r="I99" s="3">
        <f t="shared" si="1"/>
        <v>1.3000000000000012E-2</v>
      </c>
      <c r="J99">
        <v>36</v>
      </c>
      <c r="K99">
        <v>2</v>
      </c>
      <c r="L99">
        <v>4</v>
      </c>
    </row>
    <row r="100" spans="1:12" x14ac:dyDescent="0.2">
      <c r="A100">
        <v>44</v>
      </c>
      <c r="B100">
        <v>2067</v>
      </c>
      <c r="C100">
        <v>34</v>
      </c>
      <c r="D100">
        <v>0.63500000000000001</v>
      </c>
      <c r="E100" s="3">
        <v>0.14299999999999999</v>
      </c>
      <c r="F100">
        <v>0.186</v>
      </c>
      <c r="G100">
        <v>0.755</v>
      </c>
      <c r="H100" s="3">
        <v>0.96599999999999997</v>
      </c>
      <c r="I100" s="3">
        <f t="shared" si="1"/>
        <v>3.400000000000003E-2</v>
      </c>
      <c r="J100">
        <v>23</v>
      </c>
      <c r="K100">
        <v>6</v>
      </c>
      <c r="L100">
        <v>14.6</v>
      </c>
    </row>
    <row r="101" spans="1:12" x14ac:dyDescent="0.2">
      <c r="A101">
        <v>39</v>
      </c>
      <c r="B101">
        <v>1882</v>
      </c>
      <c r="C101">
        <v>127</v>
      </c>
      <c r="D101">
        <v>0.63600000000000001</v>
      </c>
      <c r="E101" s="3">
        <v>0.17</v>
      </c>
      <c r="F101">
        <v>7.3999999999999996E-2</v>
      </c>
      <c r="G101">
        <v>0.72599999999999998</v>
      </c>
      <c r="H101" s="3">
        <v>0.94199999999999995</v>
      </c>
      <c r="I101" s="3">
        <f t="shared" si="1"/>
        <v>5.8000000000000052E-2</v>
      </c>
      <c r="J101">
        <v>28</v>
      </c>
      <c r="K101">
        <v>3</v>
      </c>
      <c r="L101">
        <v>4.4000000000000004</v>
      </c>
    </row>
    <row r="102" spans="1:12" x14ac:dyDescent="0.2">
      <c r="A102">
        <v>96</v>
      </c>
      <c r="B102">
        <v>4565</v>
      </c>
      <c r="C102">
        <v>37</v>
      </c>
      <c r="D102">
        <v>0.63600000000000001</v>
      </c>
      <c r="E102" s="3">
        <v>0.17499999999999999</v>
      </c>
      <c r="F102">
        <v>0.26100000000000001</v>
      </c>
      <c r="G102">
        <v>0.70699999999999996</v>
      </c>
      <c r="H102" s="3">
        <v>0.97099999999999997</v>
      </c>
      <c r="I102" s="3">
        <f t="shared" si="1"/>
        <v>2.9000000000000026E-2</v>
      </c>
      <c r="J102">
        <v>9</v>
      </c>
      <c r="K102">
        <v>10</v>
      </c>
      <c r="L102">
        <v>8.8000000000000007</v>
      </c>
    </row>
    <row r="103" spans="1:12" x14ac:dyDescent="0.2">
      <c r="A103">
        <v>36</v>
      </c>
      <c r="B103">
        <v>1632</v>
      </c>
      <c r="C103">
        <v>162</v>
      </c>
      <c r="D103">
        <v>0.63700000000000001</v>
      </c>
      <c r="E103" s="3">
        <v>0.14799999999999999</v>
      </c>
      <c r="F103">
        <v>0.192</v>
      </c>
      <c r="G103">
        <v>0.82499999999999996</v>
      </c>
      <c r="H103" s="3">
        <v>0.97799999999999998</v>
      </c>
      <c r="I103" s="3">
        <f t="shared" si="1"/>
        <v>2.200000000000002E-2</v>
      </c>
      <c r="J103">
        <v>25</v>
      </c>
      <c r="K103">
        <v>19</v>
      </c>
      <c r="L103">
        <v>10</v>
      </c>
    </row>
    <row r="104" spans="1:12" x14ac:dyDescent="0.2">
      <c r="A104">
        <v>52</v>
      </c>
      <c r="B104">
        <v>2401</v>
      </c>
      <c r="C104">
        <v>57</v>
      </c>
      <c r="D104">
        <v>0.63700000000000001</v>
      </c>
      <c r="E104" s="3">
        <v>0.121</v>
      </c>
      <c r="F104">
        <v>7.6999999999999999E-2</v>
      </c>
      <c r="G104">
        <v>0.92500000000000004</v>
      </c>
      <c r="H104" s="3">
        <v>0.96399999999999997</v>
      </c>
      <c r="I104" s="3">
        <f t="shared" si="1"/>
        <v>3.6000000000000032E-2</v>
      </c>
      <c r="J104">
        <v>95</v>
      </c>
      <c r="K104">
        <v>16</v>
      </c>
      <c r="L104">
        <v>12.2</v>
      </c>
    </row>
    <row r="105" spans="1:12" x14ac:dyDescent="0.2">
      <c r="A105">
        <v>85</v>
      </c>
      <c r="B105">
        <v>4055</v>
      </c>
      <c r="C105">
        <v>66</v>
      </c>
      <c r="D105">
        <v>0.63700000000000001</v>
      </c>
      <c r="E105" s="3">
        <v>3.5999999999999997E-2</v>
      </c>
      <c r="F105">
        <v>9.6000000000000002E-2</v>
      </c>
      <c r="G105">
        <v>0.88500000000000001</v>
      </c>
      <c r="H105" s="3">
        <v>0.96599999999999997</v>
      </c>
      <c r="I105" s="3">
        <f t="shared" si="1"/>
        <v>3.400000000000003E-2</v>
      </c>
      <c r="J105">
        <v>27</v>
      </c>
      <c r="K105">
        <v>4</v>
      </c>
      <c r="L105">
        <v>9.1999999999999993</v>
      </c>
    </row>
    <row r="106" spans="1:12" x14ac:dyDescent="0.2">
      <c r="A106">
        <v>85</v>
      </c>
      <c r="B106">
        <v>4205</v>
      </c>
      <c r="C106">
        <v>68</v>
      </c>
      <c r="D106">
        <v>0.63700000000000001</v>
      </c>
      <c r="E106" s="3">
        <v>3.5000000000000003E-2</v>
      </c>
      <c r="F106">
        <v>0.29699999999999999</v>
      </c>
      <c r="G106">
        <v>0.83299999999999996</v>
      </c>
      <c r="H106" s="3">
        <v>0.96799999999999997</v>
      </c>
      <c r="I106" s="3">
        <f t="shared" si="1"/>
        <v>3.2000000000000028E-2</v>
      </c>
      <c r="J106">
        <v>53</v>
      </c>
      <c r="K106">
        <v>10</v>
      </c>
      <c r="L106">
        <v>5.9</v>
      </c>
    </row>
    <row r="107" spans="1:12" x14ac:dyDescent="0.2">
      <c r="A107">
        <v>42</v>
      </c>
      <c r="B107">
        <v>1979</v>
      </c>
      <c r="C107">
        <v>186</v>
      </c>
      <c r="D107">
        <v>0.63800000000000001</v>
      </c>
      <c r="E107" s="3">
        <v>5.6000000000000001E-2</v>
      </c>
      <c r="F107">
        <v>0.24199999999999999</v>
      </c>
      <c r="G107">
        <v>0.79</v>
      </c>
      <c r="H107" s="3">
        <v>0.998</v>
      </c>
      <c r="I107" s="3">
        <f t="shared" si="1"/>
        <v>2.0000000000000018E-3</v>
      </c>
      <c r="J107">
        <v>81</v>
      </c>
      <c r="K107">
        <v>8</v>
      </c>
      <c r="L107">
        <v>4.9000000000000004</v>
      </c>
    </row>
    <row r="108" spans="1:12" x14ac:dyDescent="0.2">
      <c r="A108">
        <v>58</v>
      </c>
      <c r="B108">
        <v>2636</v>
      </c>
      <c r="C108">
        <v>96</v>
      </c>
      <c r="D108">
        <v>0.63800000000000001</v>
      </c>
      <c r="E108" s="3">
        <v>0.11899999999999999</v>
      </c>
      <c r="F108">
        <v>0.12</v>
      </c>
      <c r="G108">
        <v>0.78300000000000003</v>
      </c>
      <c r="H108" s="3">
        <v>0.95899999999999996</v>
      </c>
      <c r="I108" s="3">
        <f t="shared" si="1"/>
        <v>4.1000000000000036E-2</v>
      </c>
      <c r="J108">
        <v>80</v>
      </c>
      <c r="K108">
        <v>13</v>
      </c>
      <c r="L108">
        <v>8.1</v>
      </c>
    </row>
    <row r="109" spans="1:12" x14ac:dyDescent="0.2">
      <c r="A109">
        <v>59</v>
      </c>
      <c r="B109">
        <v>2759</v>
      </c>
      <c r="C109">
        <v>71</v>
      </c>
      <c r="D109">
        <v>0.63800000000000001</v>
      </c>
      <c r="E109" s="3">
        <v>0.156</v>
      </c>
      <c r="F109">
        <v>8.5999999999999993E-2</v>
      </c>
      <c r="G109">
        <v>0.77</v>
      </c>
      <c r="H109" s="3">
        <v>0.91900000000000004</v>
      </c>
      <c r="I109" s="3">
        <f t="shared" si="1"/>
        <v>8.0999999999999961E-2</v>
      </c>
      <c r="J109">
        <v>89</v>
      </c>
      <c r="K109">
        <v>7</v>
      </c>
      <c r="L109">
        <v>8.1999999999999993</v>
      </c>
    </row>
    <row r="110" spans="1:12" x14ac:dyDescent="0.2">
      <c r="A110">
        <v>67</v>
      </c>
      <c r="B110">
        <v>3176</v>
      </c>
      <c r="C110">
        <v>165</v>
      </c>
      <c r="D110">
        <v>0.63800000000000001</v>
      </c>
      <c r="E110" s="3">
        <v>4.7E-2</v>
      </c>
      <c r="F110">
        <v>0.29699999999999999</v>
      </c>
      <c r="G110">
        <v>0.75700000000000001</v>
      </c>
      <c r="H110" s="3">
        <v>0.95699999999999996</v>
      </c>
      <c r="I110" s="3">
        <f t="shared" si="1"/>
        <v>4.3000000000000038E-2</v>
      </c>
      <c r="J110">
        <v>77</v>
      </c>
      <c r="K110">
        <v>17</v>
      </c>
      <c r="L110">
        <v>1.5</v>
      </c>
    </row>
    <row r="111" spans="1:12" x14ac:dyDescent="0.2">
      <c r="A111">
        <v>50</v>
      </c>
      <c r="B111">
        <v>2228</v>
      </c>
      <c r="C111">
        <v>46</v>
      </c>
      <c r="D111">
        <v>0.63900000000000001</v>
      </c>
      <c r="E111" s="3">
        <v>0.161</v>
      </c>
      <c r="F111">
        <v>0.29099999999999998</v>
      </c>
      <c r="G111">
        <v>0.86399999999999999</v>
      </c>
      <c r="H111" s="3">
        <v>0.93799999999999994</v>
      </c>
      <c r="I111" s="3">
        <f t="shared" si="1"/>
        <v>6.2000000000000055E-2</v>
      </c>
      <c r="J111">
        <v>33</v>
      </c>
      <c r="K111">
        <v>11</v>
      </c>
      <c r="L111">
        <v>13.4</v>
      </c>
    </row>
    <row r="112" spans="1:12" x14ac:dyDescent="0.2">
      <c r="A112">
        <v>78</v>
      </c>
      <c r="B112">
        <v>3788</v>
      </c>
      <c r="C112">
        <v>116</v>
      </c>
      <c r="D112">
        <v>0.64</v>
      </c>
      <c r="E112" s="3">
        <v>1.7000000000000001E-2</v>
      </c>
      <c r="F112">
        <v>0.248</v>
      </c>
      <c r="G112">
        <v>0.874</v>
      </c>
      <c r="H112" s="3">
        <v>0.90100000000000002</v>
      </c>
      <c r="I112" s="3">
        <f t="shared" si="1"/>
        <v>9.8999999999999977E-2</v>
      </c>
      <c r="J112">
        <v>72</v>
      </c>
      <c r="K112">
        <v>4</v>
      </c>
      <c r="L112">
        <v>8.8000000000000007</v>
      </c>
    </row>
    <row r="113" spans="1:12" x14ac:dyDescent="0.2">
      <c r="A113">
        <v>99</v>
      </c>
      <c r="B113">
        <v>4904</v>
      </c>
      <c r="C113">
        <v>194</v>
      </c>
      <c r="D113">
        <v>0.64</v>
      </c>
      <c r="E113" s="3">
        <v>0.13300000000000001</v>
      </c>
      <c r="F113">
        <v>0.17799999999999999</v>
      </c>
      <c r="G113">
        <v>0.91900000000000004</v>
      </c>
      <c r="H113" s="3">
        <v>0.93</v>
      </c>
      <c r="I113" s="3">
        <f t="shared" si="1"/>
        <v>6.9999999999999951E-2</v>
      </c>
      <c r="J113">
        <v>97</v>
      </c>
      <c r="K113">
        <v>12</v>
      </c>
      <c r="L113">
        <v>6.7</v>
      </c>
    </row>
    <row r="114" spans="1:12" x14ac:dyDescent="0.2">
      <c r="A114">
        <v>100</v>
      </c>
      <c r="B114">
        <v>4906</v>
      </c>
      <c r="C114">
        <v>62</v>
      </c>
      <c r="D114">
        <v>0.64</v>
      </c>
      <c r="E114" s="3">
        <v>0.159</v>
      </c>
      <c r="F114">
        <v>0.29399999999999998</v>
      </c>
      <c r="G114">
        <v>0.79100000000000004</v>
      </c>
      <c r="H114" s="3">
        <v>0.91600000000000004</v>
      </c>
      <c r="I114" s="3">
        <f t="shared" si="1"/>
        <v>8.3999999999999964E-2</v>
      </c>
      <c r="J114">
        <v>21</v>
      </c>
      <c r="K114">
        <v>11</v>
      </c>
      <c r="L114">
        <v>5.5</v>
      </c>
    </row>
    <row r="115" spans="1:12" x14ac:dyDescent="0.2">
      <c r="A115">
        <v>46</v>
      </c>
      <c r="B115">
        <v>2036</v>
      </c>
      <c r="C115">
        <v>48</v>
      </c>
      <c r="D115">
        <v>0.64100000000000001</v>
      </c>
      <c r="E115" s="3">
        <v>8.2000000000000003E-2</v>
      </c>
      <c r="F115">
        <v>0.27700000000000002</v>
      </c>
      <c r="G115">
        <v>0.95399999999999996</v>
      </c>
      <c r="H115" s="3">
        <v>0.94799999999999995</v>
      </c>
      <c r="I115" s="3">
        <f t="shared" si="1"/>
        <v>5.2000000000000046E-2</v>
      </c>
      <c r="J115">
        <v>48</v>
      </c>
      <c r="K115">
        <v>3</v>
      </c>
      <c r="L115">
        <v>5.6</v>
      </c>
    </row>
    <row r="116" spans="1:12" x14ac:dyDescent="0.2">
      <c r="A116">
        <v>50</v>
      </c>
      <c r="B116">
        <v>2313</v>
      </c>
      <c r="C116">
        <v>102</v>
      </c>
      <c r="D116">
        <v>0.64100000000000001</v>
      </c>
      <c r="E116" s="3">
        <v>7.0000000000000007E-2</v>
      </c>
      <c r="F116">
        <v>0.23</v>
      </c>
      <c r="G116">
        <v>0.85399999999999998</v>
      </c>
      <c r="H116" s="3">
        <v>0.93100000000000005</v>
      </c>
      <c r="I116" s="3">
        <f t="shared" si="1"/>
        <v>6.899999999999995E-2</v>
      </c>
      <c r="J116">
        <v>92</v>
      </c>
      <c r="K116">
        <v>3</v>
      </c>
      <c r="L116">
        <v>14.7</v>
      </c>
    </row>
    <row r="117" spans="1:12" x14ac:dyDescent="0.2">
      <c r="A117">
        <v>90</v>
      </c>
      <c r="B117">
        <v>4276</v>
      </c>
      <c r="C117">
        <v>153</v>
      </c>
      <c r="D117">
        <v>0.64100000000000001</v>
      </c>
      <c r="E117" s="3">
        <v>0.19</v>
      </c>
      <c r="F117">
        <v>0.17399999999999999</v>
      </c>
      <c r="G117">
        <v>0.83199999999999996</v>
      </c>
      <c r="H117" s="3">
        <v>0.91700000000000004</v>
      </c>
      <c r="I117" s="3">
        <f t="shared" si="1"/>
        <v>8.2999999999999963E-2</v>
      </c>
      <c r="J117">
        <v>4</v>
      </c>
      <c r="K117">
        <v>15</v>
      </c>
      <c r="L117">
        <v>7</v>
      </c>
    </row>
    <row r="118" spans="1:12" x14ac:dyDescent="0.2">
      <c r="A118">
        <v>105</v>
      </c>
      <c r="B118">
        <v>4996</v>
      </c>
      <c r="C118">
        <v>18</v>
      </c>
      <c r="D118">
        <v>0.64200000000000002</v>
      </c>
      <c r="E118" s="3">
        <v>0.19600000000000001</v>
      </c>
      <c r="F118">
        <v>7.2999999999999995E-2</v>
      </c>
      <c r="G118">
        <v>0.97099999999999997</v>
      </c>
      <c r="H118" s="3">
        <v>0.96599999999999997</v>
      </c>
      <c r="I118" s="3">
        <f t="shared" si="1"/>
        <v>3.400000000000003E-2</v>
      </c>
      <c r="J118">
        <v>17</v>
      </c>
      <c r="K118">
        <v>4</v>
      </c>
      <c r="L118">
        <v>14.1</v>
      </c>
    </row>
    <row r="119" spans="1:12" x14ac:dyDescent="0.2">
      <c r="A119">
        <v>43</v>
      </c>
      <c r="B119">
        <v>1908</v>
      </c>
      <c r="C119">
        <v>68</v>
      </c>
      <c r="D119">
        <v>0.64400000000000002</v>
      </c>
      <c r="E119" s="3">
        <v>3.1E-2</v>
      </c>
      <c r="F119">
        <v>0.129</v>
      </c>
      <c r="G119">
        <v>0.71799999999999997</v>
      </c>
      <c r="H119" s="3">
        <v>0.95199999999999996</v>
      </c>
      <c r="I119" s="3">
        <f t="shared" si="1"/>
        <v>4.8000000000000043E-2</v>
      </c>
      <c r="J119">
        <v>98</v>
      </c>
      <c r="K119">
        <v>3</v>
      </c>
      <c r="L119">
        <v>11.6</v>
      </c>
    </row>
    <row r="120" spans="1:12" x14ac:dyDescent="0.2">
      <c r="A120">
        <v>26</v>
      </c>
      <c r="B120">
        <v>1215</v>
      </c>
      <c r="C120">
        <v>109</v>
      </c>
      <c r="D120">
        <v>0.64500000000000002</v>
      </c>
      <c r="E120" s="3">
        <v>4.9000000000000002E-2</v>
      </c>
      <c r="F120">
        <v>0.08</v>
      </c>
      <c r="G120">
        <v>0.77400000000000002</v>
      </c>
      <c r="H120" s="3">
        <v>0.90800000000000003</v>
      </c>
      <c r="I120" s="3">
        <f t="shared" si="1"/>
        <v>9.1999999999999971E-2</v>
      </c>
      <c r="J120">
        <v>84</v>
      </c>
      <c r="K120">
        <v>10</v>
      </c>
      <c r="L120">
        <v>9.8000000000000007</v>
      </c>
    </row>
    <row r="121" spans="1:12" x14ac:dyDescent="0.2">
      <c r="A121">
        <v>91</v>
      </c>
      <c r="B121">
        <v>4400</v>
      </c>
      <c r="C121">
        <v>186</v>
      </c>
      <c r="D121">
        <v>0.64500000000000002</v>
      </c>
      <c r="E121" s="3">
        <v>7.5999999999999998E-2</v>
      </c>
      <c r="F121">
        <v>0.27800000000000002</v>
      </c>
      <c r="G121">
        <v>0.79500000000000004</v>
      </c>
      <c r="H121" s="3">
        <v>0.97099999999999997</v>
      </c>
      <c r="I121" s="3">
        <f t="shared" si="1"/>
        <v>2.9000000000000026E-2</v>
      </c>
      <c r="J121">
        <v>10</v>
      </c>
      <c r="K121">
        <v>6</v>
      </c>
      <c r="L121">
        <v>12</v>
      </c>
    </row>
    <row r="122" spans="1:12" x14ac:dyDescent="0.2">
      <c r="A122">
        <v>90</v>
      </c>
      <c r="B122">
        <v>4455</v>
      </c>
      <c r="C122">
        <v>83</v>
      </c>
      <c r="D122">
        <v>0.64500000000000002</v>
      </c>
      <c r="E122" s="3">
        <v>8.3000000000000004E-2</v>
      </c>
      <c r="F122">
        <v>0.28999999999999998</v>
      </c>
      <c r="G122">
        <v>0.97</v>
      </c>
      <c r="H122" s="3">
        <v>0.96899999999999997</v>
      </c>
      <c r="I122" s="3">
        <f t="shared" si="1"/>
        <v>3.1000000000000028E-2</v>
      </c>
      <c r="J122">
        <v>54</v>
      </c>
      <c r="K122">
        <v>16</v>
      </c>
      <c r="L122">
        <v>6</v>
      </c>
    </row>
    <row r="123" spans="1:12" x14ac:dyDescent="0.2">
      <c r="A123">
        <v>59</v>
      </c>
      <c r="B123">
        <v>2724</v>
      </c>
      <c r="C123">
        <v>50</v>
      </c>
      <c r="D123">
        <v>0.64600000000000002</v>
      </c>
      <c r="E123" s="3">
        <v>0.104</v>
      </c>
      <c r="F123">
        <v>0.3</v>
      </c>
      <c r="G123">
        <v>0.94699999999999995</v>
      </c>
      <c r="H123" s="3">
        <v>0.90200000000000002</v>
      </c>
      <c r="I123" s="3">
        <f t="shared" si="1"/>
        <v>9.7999999999999976E-2</v>
      </c>
      <c r="J123">
        <v>72</v>
      </c>
      <c r="K123">
        <v>9</v>
      </c>
      <c r="L123">
        <v>12.2</v>
      </c>
    </row>
    <row r="124" spans="1:12" x14ac:dyDescent="0.2">
      <c r="A124">
        <v>68</v>
      </c>
      <c r="B124">
        <v>3235</v>
      </c>
      <c r="C124">
        <v>173</v>
      </c>
      <c r="D124">
        <v>0.64600000000000002</v>
      </c>
      <c r="E124" s="3">
        <v>8.8999999999999996E-2</v>
      </c>
      <c r="F124">
        <v>0.153</v>
      </c>
      <c r="G124">
        <v>0.88</v>
      </c>
      <c r="H124" s="3">
        <v>0.96799999999999997</v>
      </c>
      <c r="I124" s="3">
        <f t="shared" si="1"/>
        <v>3.2000000000000028E-2</v>
      </c>
      <c r="J124">
        <v>52</v>
      </c>
      <c r="K124">
        <v>15</v>
      </c>
      <c r="L124">
        <v>12.6</v>
      </c>
    </row>
    <row r="125" spans="1:12" x14ac:dyDescent="0.2">
      <c r="A125">
        <v>82</v>
      </c>
      <c r="B125">
        <v>3831</v>
      </c>
      <c r="C125">
        <v>125</v>
      </c>
      <c r="D125">
        <v>0.64600000000000002</v>
      </c>
      <c r="E125" s="3">
        <v>6.9000000000000006E-2</v>
      </c>
      <c r="F125">
        <v>0.19500000000000001</v>
      </c>
      <c r="G125">
        <v>0.92300000000000004</v>
      </c>
      <c r="H125" s="3">
        <v>0.95299999999999996</v>
      </c>
      <c r="I125" s="3">
        <f t="shared" si="1"/>
        <v>4.7000000000000042E-2</v>
      </c>
      <c r="J125">
        <v>87</v>
      </c>
      <c r="K125">
        <v>14</v>
      </c>
      <c r="L125">
        <v>8.6999999999999993</v>
      </c>
    </row>
    <row r="126" spans="1:12" x14ac:dyDescent="0.2">
      <c r="A126">
        <v>36</v>
      </c>
      <c r="B126">
        <v>1659</v>
      </c>
      <c r="C126">
        <v>146</v>
      </c>
      <c r="D126">
        <v>0.64700000000000002</v>
      </c>
      <c r="E126" s="3">
        <v>0.185</v>
      </c>
      <c r="F126">
        <v>0.27300000000000002</v>
      </c>
      <c r="G126">
        <v>0.88500000000000001</v>
      </c>
      <c r="H126" s="3">
        <v>0.91700000000000004</v>
      </c>
      <c r="I126" s="3">
        <f t="shared" si="1"/>
        <v>8.2999999999999963E-2</v>
      </c>
      <c r="J126">
        <v>20</v>
      </c>
      <c r="K126">
        <v>10</v>
      </c>
      <c r="L126">
        <v>7.9</v>
      </c>
    </row>
    <row r="127" spans="1:12" x14ac:dyDescent="0.2">
      <c r="A127">
        <v>57</v>
      </c>
      <c r="B127">
        <v>2710</v>
      </c>
      <c r="C127">
        <v>15</v>
      </c>
      <c r="D127">
        <v>0.64700000000000002</v>
      </c>
      <c r="E127" s="3">
        <v>0.10199999999999999</v>
      </c>
      <c r="F127">
        <v>0.24099999999999999</v>
      </c>
      <c r="G127">
        <v>0.78100000000000003</v>
      </c>
      <c r="H127" s="3">
        <v>0.96099999999999997</v>
      </c>
      <c r="I127" s="3">
        <f t="shared" si="1"/>
        <v>3.9000000000000035E-2</v>
      </c>
      <c r="J127">
        <v>90</v>
      </c>
      <c r="K127">
        <v>10</v>
      </c>
      <c r="L127">
        <v>12</v>
      </c>
    </row>
    <row r="128" spans="1:12" x14ac:dyDescent="0.2">
      <c r="A128">
        <v>72</v>
      </c>
      <c r="B128">
        <v>3503</v>
      </c>
      <c r="C128">
        <v>137</v>
      </c>
      <c r="D128">
        <v>0.64700000000000002</v>
      </c>
      <c r="E128" s="3">
        <v>0.17399999999999999</v>
      </c>
      <c r="F128">
        <v>0.249</v>
      </c>
      <c r="G128">
        <v>0.95</v>
      </c>
      <c r="H128" s="3">
        <v>0.95799999999999996</v>
      </c>
      <c r="I128" s="3">
        <f t="shared" si="1"/>
        <v>4.2000000000000037E-2</v>
      </c>
      <c r="J128">
        <v>59</v>
      </c>
      <c r="K128">
        <v>18</v>
      </c>
      <c r="L128">
        <v>3.7</v>
      </c>
    </row>
    <row r="129" spans="1:12" x14ac:dyDescent="0.2">
      <c r="A129">
        <v>43</v>
      </c>
      <c r="B129">
        <v>1943</v>
      </c>
      <c r="C129">
        <v>113</v>
      </c>
      <c r="D129">
        <v>0.64800000000000002</v>
      </c>
      <c r="E129" s="3">
        <v>5.6000000000000001E-2</v>
      </c>
      <c r="F129">
        <v>0.221</v>
      </c>
      <c r="G129">
        <v>0.71899999999999997</v>
      </c>
      <c r="H129" s="3">
        <v>0.94899999999999995</v>
      </c>
      <c r="I129" s="3">
        <f t="shared" si="1"/>
        <v>5.1000000000000045E-2</v>
      </c>
      <c r="J129">
        <v>67</v>
      </c>
      <c r="K129">
        <v>12</v>
      </c>
      <c r="L129">
        <v>9.1999999999999993</v>
      </c>
    </row>
    <row r="130" spans="1:12" x14ac:dyDescent="0.2">
      <c r="A130">
        <v>86</v>
      </c>
      <c r="B130">
        <v>4232</v>
      </c>
      <c r="C130">
        <v>100</v>
      </c>
      <c r="D130">
        <v>0.64800000000000002</v>
      </c>
      <c r="E130" s="3">
        <v>0.186</v>
      </c>
      <c r="F130">
        <v>0.218</v>
      </c>
      <c r="G130">
        <v>0.78800000000000003</v>
      </c>
      <c r="H130" s="3">
        <v>0.90300000000000002</v>
      </c>
      <c r="I130" s="3">
        <f t="shared" si="1"/>
        <v>9.6999999999999975E-2</v>
      </c>
      <c r="J130">
        <v>15</v>
      </c>
      <c r="K130">
        <v>6</v>
      </c>
      <c r="L130">
        <v>5.7</v>
      </c>
    </row>
    <row r="131" spans="1:12" x14ac:dyDescent="0.2">
      <c r="A131">
        <v>31</v>
      </c>
      <c r="B131">
        <v>1396</v>
      </c>
      <c r="C131">
        <v>146</v>
      </c>
      <c r="D131">
        <v>0.64900000000000002</v>
      </c>
      <c r="E131" s="3">
        <v>0.1</v>
      </c>
      <c r="F131">
        <v>0.17199999999999999</v>
      </c>
      <c r="G131">
        <v>0.71</v>
      </c>
      <c r="H131" s="3">
        <v>0.94799999999999995</v>
      </c>
      <c r="I131" s="3">
        <f t="shared" ref="I131:I194" si="2">1-H131</f>
        <v>5.2000000000000046E-2</v>
      </c>
      <c r="J131">
        <v>78</v>
      </c>
      <c r="K131">
        <v>2</v>
      </c>
      <c r="L131">
        <v>5.6</v>
      </c>
    </row>
    <row r="132" spans="1:12" x14ac:dyDescent="0.2">
      <c r="A132">
        <v>35</v>
      </c>
      <c r="B132">
        <v>1615</v>
      </c>
      <c r="C132">
        <v>80</v>
      </c>
      <c r="D132">
        <v>0.64900000000000002</v>
      </c>
      <c r="E132" s="3">
        <v>0.13200000000000001</v>
      </c>
      <c r="F132">
        <v>0.28000000000000003</v>
      </c>
      <c r="G132">
        <v>0.85</v>
      </c>
      <c r="H132" s="3">
        <v>0.99299999999999999</v>
      </c>
      <c r="I132" s="3">
        <f t="shared" si="2"/>
        <v>7.0000000000000062E-3</v>
      </c>
      <c r="J132">
        <v>96</v>
      </c>
      <c r="K132">
        <v>17</v>
      </c>
      <c r="L132">
        <v>14.9</v>
      </c>
    </row>
    <row r="133" spans="1:12" x14ac:dyDescent="0.2">
      <c r="A133">
        <v>57</v>
      </c>
      <c r="B133">
        <v>2589</v>
      </c>
      <c r="C133">
        <v>31</v>
      </c>
      <c r="D133">
        <v>0.64900000000000002</v>
      </c>
      <c r="E133" s="3">
        <v>0.189</v>
      </c>
      <c r="F133">
        <v>0.26100000000000001</v>
      </c>
      <c r="G133">
        <v>0.92</v>
      </c>
      <c r="H133" s="3">
        <v>0.93899999999999995</v>
      </c>
      <c r="I133" s="3">
        <f t="shared" si="2"/>
        <v>6.1000000000000054E-2</v>
      </c>
      <c r="J133">
        <v>20</v>
      </c>
      <c r="K133">
        <v>16</v>
      </c>
      <c r="L133">
        <v>10.7</v>
      </c>
    </row>
    <row r="134" spans="1:12" x14ac:dyDescent="0.2">
      <c r="A134">
        <v>86</v>
      </c>
      <c r="B134">
        <v>4170</v>
      </c>
      <c r="C134">
        <v>36</v>
      </c>
      <c r="D134">
        <v>0.64900000000000002</v>
      </c>
      <c r="E134" s="3">
        <v>5.7000000000000002E-2</v>
      </c>
      <c r="F134">
        <v>0.17399999999999999</v>
      </c>
      <c r="G134">
        <v>0.76800000000000002</v>
      </c>
      <c r="H134" s="3">
        <v>0.95199999999999996</v>
      </c>
      <c r="I134" s="3">
        <f t="shared" si="2"/>
        <v>4.8000000000000043E-2</v>
      </c>
      <c r="J134">
        <v>11</v>
      </c>
      <c r="K134">
        <v>10</v>
      </c>
      <c r="L134">
        <v>12.9</v>
      </c>
    </row>
    <row r="135" spans="1:12" x14ac:dyDescent="0.2">
      <c r="A135">
        <v>74</v>
      </c>
      <c r="B135">
        <v>3503</v>
      </c>
      <c r="C135">
        <v>152</v>
      </c>
      <c r="D135">
        <v>0.65</v>
      </c>
      <c r="E135" s="3">
        <v>0.17499999999999999</v>
      </c>
      <c r="F135">
        <v>0.26400000000000001</v>
      </c>
      <c r="G135">
        <v>0.77200000000000002</v>
      </c>
      <c r="H135" s="3">
        <v>0.995</v>
      </c>
      <c r="I135" s="3">
        <f t="shared" si="2"/>
        <v>5.0000000000000044E-3</v>
      </c>
      <c r="J135">
        <v>47</v>
      </c>
      <c r="K135">
        <v>1</v>
      </c>
      <c r="L135">
        <v>13</v>
      </c>
    </row>
    <row r="136" spans="1:12" x14ac:dyDescent="0.2">
      <c r="A136">
        <v>87</v>
      </c>
      <c r="B136">
        <v>4299</v>
      </c>
      <c r="C136">
        <v>70</v>
      </c>
      <c r="D136">
        <v>0.65</v>
      </c>
      <c r="E136" s="3">
        <v>0.13900000000000001</v>
      </c>
      <c r="F136">
        <v>0.247</v>
      </c>
      <c r="G136">
        <v>0.872</v>
      </c>
      <c r="H136" s="3">
        <v>0.92400000000000004</v>
      </c>
      <c r="I136" s="3">
        <f t="shared" si="2"/>
        <v>7.5999999999999956E-2</v>
      </c>
      <c r="J136">
        <v>77</v>
      </c>
      <c r="K136">
        <v>16</v>
      </c>
      <c r="L136">
        <v>4.0999999999999996</v>
      </c>
    </row>
    <row r="137" spans="1:12" x14ac:dyDescent="0.2">
      <c r="A137">
        <v>27</v>
      </c>
      <c r="B137">
        <v>1205</v>
      </c>
      <c r="C137">
        <v>71</v>
      </c>
      <c r="D137">
        <v>0.65100000000000002</v>
      </c>
      <c r="E137" s="3">
        <v>9.9000000000000005E-2</v>
      </c>
      <c r="F137">
        <v>6.2E-2</v>
      </c>
      <c r="G137">
        <v>0.91200000000000003</v>
      </c>
      <c r="H137" s="3">
        <v>0.97599999999999998</v>
      </c>
      <c r="I137" s="3">
        <f t="shared" si="2"/>
        <v>2.4000000000000021E-2</v>
      </c>
      <c r="J137">
        <v>67</v>
      </c>
      <c r="K137">
        <v>12</v>
      </c>
      <c r="L137">
        <v>11.2</v>
      </c>
    </row>
    <row r="138" spans="1:12" x14ac:dyDescent="0.2">
      <c r="A138">
        <v>57</v>
      </c>
      <c r="B138">
        <v>2751</v>
      </c>
      <c r="C138">
        <v>166</v>
      </c>
      <c r="D138">
        <v>0.65100000000000002</v>
      </c>
      <c r="E138" s="3">
        <v>0.156</v>
      </c>
      <c r="F138">
        <v>0.24</v>
      </c>
      <c r="G138">
        <v>0.89</v>
      </c>
      <c r="H138" s="3">
        <v>0.99399999999999999</v>
      </c>
      <c r="I138" s="3">
        <f t="shared" si="2"/>
        <v>6.0000000000000053E-3</v>
      </c>
      <c r="J138">
        <v>50</v>
      </c>
      <c r="K138">
        <v>5</v>
      </c>
      <c r="L138">
        <v>14.3</v>
      </c>
    </row>
    <row r="139" spans="1:12" x14ac:dyDescent="0.2">
      <c r="A139">
        <v>39</v>
      </c>
      <c r="B139">
        <v>1739</v>
      </c>
      <c r="C139">
        <v>137</v>
      </c>
      <c r="D139">
        <v>0.65200000000000002</v>
      </c>
      <c r="E139" s="3">
        <v>3.4000000000000002E-2</v>
      </c>
      <c r="F139">
        <v>0.14000000000000001</v>
      </c>
      <c r="G139">
        <v>0.73799999999999999</v>
      </c>
      <c r="H139" s="3">
        <v>0.97</v>
      </c>
      <c r="I139" s="3">
        <f t="shared" si="2"/>
        <v>3.0000000000000027E-2</v>
      </c>
      <c r="J139">
        <v>5</v>
      </c>
      <c r="K139">
        <v>12</v>
      </c>
      <c r="L139">
        <v>13.5</v>
      </c>
    </row>
    <row r="140" spans="1:12" x14ac:dyDescent="0.2">
      <c r="A140">
        <v>39</v>
      </c>
      <c r="B140">
        <v>1873</v>
      </c>
      <c r="C140">
        <v>49</v>
      </c>
      <c r="D140">
        <v>0.65200000000000002</v>
      </c>
      <c r="E140" s="3">
        <v>0.17899999999999999</v>
      </c>
      <c r="F140">
        <v>5.6000000000000001E-2</v>
      </c>
      <c r="G140">
        <v>0.94699999999999995</v>
      </c>
      <c r="H140" s="3">
        <v>0.95499999999999996</v>
      </c>
      <c r="I140" s="3">
        <f t="shared" si="2"/>
        <v>4.500000000000004E-2</v>
      </c>
      <c r="J140">
        <v>90</v>
      </c>
      <c r="K140">
        <v>18</v>
      </c>
      <c r="L140">
        <v>5.5</v>
      </c>
    </row>
    <row r="141" spans="1:12" x14ac:dyDescent="0.2">
      <c r="A141">
        <v>42</v>
      </c>
      <c r="B141">
        <v>1972</v>
      </c>
      <c r="C141">
        <v>168</v>
      </c>
      <c r="D141">
        <v>0.65200000000000002</v>
      </c>
      <c r="E141" s="3">
        <v>0.153</v>
      </c>
      <c r="F141">
        <v>5.5E-2</v>
      </c>
      <c r="G141">
        <v>0.76600000000000001</v>
      </c>
      <c r="H141" s="3">
        <v>0.92900000000000005</v>
      </c>
      <c r="I141" s="3">
        <f t="shared" si="2"/>
        <v>7.0999999999999952E-2</v>
      </c>
      <c r="J141">
        <v>33</v>
      </c>
      <c r="K141">
        <v>17</v>
      </c>
      <c r="L141">
        <v>8.8000000000000007</v>
      </c>
    </row>
    <row r="142" spans="1:12" x14ac:dyDescent="0.2">
      <c r="A142">
        <v>90</v>
      </c>
      <c r="B142">
        <v>4349</v>
      </c>
      <c r="C142">
        <v>119</v>
      </c>
      <c r="D142">
        <v>0.65200000000000002</v>
      </c>
      <c r="E142" s="3">
        <v>0.158</v>
      </c>
      <c r="F142">
        <v>0.185</v>
      </c>
      <c r="G142">
        <v>0.94299999999999995</v>
      </c>
      <c r="H142" s="3">
        <v>0.94299999999999995</v>
      </c>
      <c r="I142" s="3">
        <f t="shared" si="2"/>
        <v>5.7000000000000051E-2</v>
      </c>
      <c r="J142">
        <v>47</v>
      </c>
      <c r="K142">
        <v>0</v>
      </c>
      <c r="L142">
        <v>3.8</v>
      </c>
    </row>
    <row r="143" spans="1:12" x14ac:dyDescent="0.2">
      <c r="A143">
        <v>97</v>
      </c>
      <c r="B143">
        <v>4770</v>
      </c>
      <c r="C143">
        <v>168</v>
      </c>
      <c r="D143">
        <v>0.65200000000000002</v>
      </c>
      <c r="E143" s="3">
        <v>7.0000000000000007E-2</v>
      </c>
      <c r="F143">
        <v>0.22900000000000001</v>
      </c>
      <c r="G143">
        <v>0.95</v>
      </c>
      <c r="H143" s="3">
        <v>0.96099999999999997</v>
      </c>
      <c r="I143" s="3">
        <f t="shared" si="2"/>
        <v>3.9000000000000035E-2</v>
      </c>
      <c r="J143">
        <v>66</v>
      </c>
      <c r="K143">
        <v>9</v>
      </c>
      <c r="L143">
        <v>11.5</v>
      </c>
    </row>
    <row r="144" spans="1:12" x14ac:dyDescent="0.2">
      <c r="A144">
        <v>39</v>
      </c>
      <c r="B144">
        <v>1849</v>
      </c>
      <c r="C144">
        <v>194</v>
      </c>
      <c r="D144">
        <v>0.65300000000000002</v>
      </c>
      <c r="E144" s="3">
        <v>0.13800000000000001</v>
      </c>
      <c r="F144">
        <v>0.20399999999999999</v>
      </c>
      <c r="G144">
        <v>0.70199999999999996</v>
      </c>
      <c r="H144" s="3">
        <v>0.90600000000000003</v>
      </c>
      <c r="I144" s="3">
        <f t="shared" si="2"/>
        <v>9.3999999999999972E-2</v>
      </c>
      <c r="J144">
        <v>93</v>
      </c>
      <c r="K144">
        <v>19</v>
      </c>
      <c r="L144">
        <v>7.9</v>
      </c>
    </row>
    <row r="145" spans="1:12" x14ac:dyDescent="0.2">
      <c r="A145">
        <v>61</v>
      </c>
      <c r="B145">
        <v>2913</v>
      </c>
      <c r="C145">
        <v>17</v>
      </c>
      <c r="D145">
        <v>0.65300000000000002</v>
      </c>
      <c r="E145" s="3">
        <v>7.0000000000000007E-2</v>
      </c>
      <c r="F145">
        <v>0.11700000000000001</v>
      </c>
      <c r="G145">
        <v>0.80700000000000005</v>
      </c>
      <c r="H145" s="3">
        <v>0.98</v>
      </c>
      <c r="I145" s="3">
        <f t="shared" si="2"/>
        <v>2.0000000000000018E-2</v>
      </c>
      <c r="J145">
        <v>45</v>
      </c>
      <c r="K145">
        <v>3</v>
      </c>
      <c r="L145">
        <v>4.2</v>
      </c>
    </row>
    <row r="146" spans="1:12" x14ac:dyDescent="0.2">
      <c r="A146">
        <v>60</v>
      </c>
      <c r="B146">
        <v>2838</v>
      </c>
      <c r="C146">
        <v>90</v>
      </c>
      <c r="D146">
        <v>0.65400000000000003</v>
      </c>
      <c r="E146" s="3">
        <v>0.16900000000000001</v>
      </c>
      <c r="F146">
        <v>0.14699999999999999</v>
      </c>
      <c r="G146">
        <v>0.93799999999999994</v>
      </c>
      <c r="H146" s="3">
        <v>0.94399999999999995</v>
      </c>
      <c r="I146" s="3">
        <f t="shared" si="2"/>
        <v>5.600000000000005E-2</v>
      </c>
      <c r="J146">
        <v>77</v>
      </c>
      <c r="K146">
        <v>7</v>
      </c>
      <c r="L146">
        <v>13.2</v>
      </c>
    </row>
    <row r="147" spans="1:12" x14ac:dyDescent="0.2">
      <c r="A147">
        <v>47</v>
      </c>
      <c r="B147">
        <v>2289</v>
      </c>
      <c r="C147">
        <v>82</v>
      </c>
      <c r="D147">
        <v>0.65500000000000003</v>
      </c>
      <c r="E147" s="3">
        <v>8.4000000000000005E-2</v>
      </c>
      <c r="F147">
        <v>0.151</v>
      </c>
      <c r="G147">
        <v>0.81699999999999995</v>
      </c>
      <c r="H147" s="3">
        <v>0.93799999999999994</v>
      </c>
      <c r="I147" s="3">
        <f t="shared" si="2"/>
        <v>6.2000000000000055E-2</v>
      </c>
      <c r="J147">
        <v>42</v>
      </c>
      <c r="K147">
        <v>15</v>
      </c>
      <c r="L147">
        <v>10.199999999999999</v>
      </c>
    </row>
    <row r="148" spans="1:12" x14ac:dyDescent="0.2">
      <c r="A148">
        <v>72</v>
      </c>
      <c r="B148">
        <v>3495</v>
      </c>
      <c r="C148">
        <v>40</v>
      </c>
      <c r="D148">
        <v>0.65500000000000003</v>
      </c>
      <c r="E148" s="3">
        <v>4.8000000000000001E-2</v>
      </c>
      <c r="F148">
        <v>0.11700000000000001</v>
      </c>
      <c r="G148">
        <v>0.85499999999999998</v>
      </c>
      <c r="H148" s="3">
        <v>0.96599999999999997</v>
      </c>
      <c r="I148" s="3">
        <f t="shared" si="2"/>
        <v>3.400000000000003E-2</v>
      </c>
      <c r="J148">
        <v>37</v>
      </c>
      <c r="K148">
        <v>14</v>
      </c>
      <c r="L148">
        <v>4.2</v>
      </c>
    </row>
    <row r="149" spans="1:12" x14ac:dyDescent="0.2">
      <c r="A149">
        <v>68</v>
      </c>
      <c r="B149">
        <v>3169</v>
      </c>
      <c r="C149">
        <v>189</v>
      </c>
      <c r="D149">
        <v>0.65600000000000003</v>
      </c>
      <c r="E149" s="3">
        <v>2.1999999999999999E-2</v>
      </c>
      <c r="F149">
        <v>0.218</v>
      </c>
      <c r="G149">
        <v>0.92200000000000004</v>
      </c>
      <c r="H149" s="3">
        <v>0.91800000000000004</v>
      </c>
      <c r="I149" s="3">
        <f t="shared" si="2"/>
        <v>8.1999999999999962E-2</v>
      </c>
      <c r="J149">
        <v>30</v>
      </c>
      <c r="K149">
        <v>5</v>
      </c>
      <c r="L149">
        <v>11.9</v>
      </c>
    </row>
    <row r="150" spans="1:12" x14ac:dyDescent="0.2">
      <c r="A150">
        <v>68</v>
      </c>
      <c r="B150">
        <v>3257</v>
      </c>
      <c r="C150">
        <v>113</v>
      </c>
      <c r="D150">
        <v>0.65600000000000003</v>
      </c>
      <c r="E150" s="3">
        <v>9.9000000000000005E-2</v>
      </c>
      <c r="F150">
        <v>0.13800000000000001</v>
      </c>
      <c r="G150">
        <v>0.746</v>
      </c>
      <c r="H150" s="3">
        <v>0.96099999999999997</v>
      </c>
      <c r="I150" s="3">
        <f t="shared" si="2"/>
        <v>3.9000000000000035E-2</v>
      </c>
      <c r="J150">
        <v>9</v>
      </c>
      <c r="K150">
        <v>8</v>
      </c>
      <c r="L150">
        <v>4.2</v>
      </c>
    </row>
    <row r="151" spans="1:12" x14ac:dyDescent="0.2">
      <c r="A151">
        <v>92</v>
      </c>
      <c r="B151">
        <v>4522</v>
      </c>
      <c r="C151">
        <v>157</v>
      </c>
      <c r="D151">
        <v>0.65600000000000003</v>
      </c>
      <c r="E151" s="3">
        <v>9.4E-2</v>
      </c>
      <c r="F151">
        <v>0.129</v>
      </c>
      <c r="G151">
        <v>0.98099999999999998</v>
      </c>
      <c r="H151" s="3">
        <v>0.92400000000000004</v>
      </c>
      <c r="I151" s="3">
        <f t="shared" si="2"/>
        <v>7.5999999999999956E-2</v>
      </c>
      <c r="J151">
        <v>19</v>
      </c>
      <c r="K151">
        <v>5</v>
      </c>
      <c r="L151">
        <v>12.1</v>
      </c>
    </row>
    <row r="152" spans="1:12" x14ac:dyDescent="0.2">
      <c r="A152">
        <v>93</v>
      </c>
      <c r="B152">
        <v>4596</v>
      </c>
      <c r="C152">
        <v>65</v>
      </c>
      <c r="D152">
        <v>0.65600000000000003</v>
      </c>
      <c r="E152" s="3">
        <v>0.154</v>
      </c>
      <c r="F152">
        <v>0.11600000000000001</v>
      </c>
      <c r="G152">
        <v>0.90100000000000002</v>
      </c>
      <c r="H152" s="3">
        <v>0.91700000000000004</v>
      </c>
      <c r="I152" s="3">
        <f t="shared" si="2"/>
        <v>8.2999999999999963E-2</v>
      </c>
      <c r="J152">
        <v>6</v>
      </c>
      <c r="K152">
        <v>9</v>
      </c>
      <c r="L152">
        <v>1.7</v>
      </c>
    </row>
    <row r="153" spans="1:12" x14ac:dyDescent="0.2">
      <c r="A153">
        <v>96</v>
      </c>
      <c r="B153">
        <v>4671</v>
      </c>
      <c r="C153">
        <v>198</v>
      </c>
      <c r="D153">
        <v>0.65700000000000003</v>
      </c>
      <c r="E153" s="3">
        <v>0.16400000000000001</v>
      </c>
      <c r="F153">
        <v>0.29199999999999998</v>
      </c>
      <c r="G153">
        <v>0.871</v>
      </c>
      <c r="H153" s="3">
        <v>0.95699999999999996</v>
      </c>
      <c r="I153" s="3">
        <f t="shared" si="2"/>
        <v>4.3000000000000038E-2</v>
      </c>
      <c r="J153">
        <v>68</v>
      </c>
      <c r="K153">
        <v>5</v>
      </c>
      <c r="L153">
        <v>10.8</v>
      </c>
    </row>
    <row r="154" spans="1:12" x14ac:dyDescent="0.2">
      <c r="A154">
        <v>104</v>
      </c>
      <c r="B154">
        <v>4965</v>
      </c>
      <c r="C154">
        <v>84</v>
      </c>
      <c r="D154">
        <v>0.65700000000000003</v>
      </c>
      <c r="E154" s="3">
        <v>3.7999999999999999E-2</v>
      </c>
      <c r="F154">
        <v>0.27900000000000003</v>
      </c>
      <c r="G154">
        <v>0.93400000000000005</v>
      </c>
      <c r="H154" s="3">
        <v>0.97</v>
      </c>
      <c r="I154" s="3">
        <f t="shared" si="2"/>
        <v>3.0000000000000027E-2</v>
      </c>
      <c r="J154">
        <v>26</v>
      </c>
      <c r="K154">
        <v>7</v>
      </c>
      <c r="L154">
        <v>3</v>
      </c>
    </row>
    <row r="155" spans="1:12" x14ac:dyDescent="0.2">
      <c r="A155">
        <v>94</v>
      </c>
      <c r="B155">
        <v>4639</v>
      </c>
      <c r="C155">
        <v>67</v>
      </c>
      <c r="D155">
        <v>0.65800000000000003</v>
      </c>
      <c r="E155" s="3">
        <v>0.17499999999999999</v>
      </c>
      <c r="F155">
        <v>8.8999999999999996E-2</v>
      </c>
      <c r="G155">
        <v>0.80200000000000005</v>
      </c>
      <c r="H155" s="3">
        <v>0.95599999999999996</v>
      </c>
      <c r="I155" s="3">
        <f t="shared" si="2"/>
        <v>4.4000000000000039E-2</v>
      </c>
      <c r="J155">
        <v>44</v>
      </c>
      <c r="K155">
        <v>1</v>
      </c>
      <c r="L155">
        <v>11.2</v>
      </c>
    </row>
    <row r="156" spans="1:12" x14ac:dyDescent="0.2">
      <c r="A156">
        <v>62</v>
      </c>
      <c r="B156">
        <v>2936</v>
      </c>
      <c r="C156">
        <v>131</v>
      </c>
      <c r="D156">
        <v>0.65900000000000003</v>
      </c>
      <c r="E156" s="3">
        <v>6.9000000000000006E-2</v>
      </c>
      <c r="F156">
        <v>0.19600000000000001</v>
      </c>
      <c r="G156">
        <v>0.74</v>
      </c>
      <c r="H156" s="3">
        <v>0.96</v>
      </c>
      <c r="I156" s="3">
        <f t="shared" si="2"/>
        <v>4.0000000000000036E-2</v>
      </c>
      <c r="J156">
        <v>72</v>
      </c>
      <c r="K156">
        <v>6</v>
      </c>
      <c r="L156">
        <v>7.2</v>
      </c>
    </row>
    <row r="157" spans="1:12" x14ac:dyDescent="0.2">
      <c r="A157">
        <v>64</v>
      </c>
      <c r="B157">
        <v>3052</v>
      </c>
      <c r="C157">
        <v>170</v>
      </c>
      <c r="D157">
        <v>0.65900000000000003</v>
      </c>
      <c r="E157" s="3">
        <v>6.7000000000000004E-2</v>
      </c>
      <c r="F157">
        <v>6.6000000000000003E-2</v>
      </c>
      <c r="G157">
        <v>0.88600000000000001</v>
      </c>
      <c r="H157" s="3">
        <v>0.90700000000000003</v>
      </c>
      <c r="I157" s="3">
        <f t="shared" si="2"/>
        <v>9.2999999999999972E-2</v>
      </c>
      <c r="J157">
        <v>52</v>
      </c>
      <c r="K157">
        <v>6</v>
      </c>
      <c r="L157">
        <v>1.2</v>
      </c>
    </row>
    <row r="158" spans="1:12" x14ac:dyDescent="0.2">
      <c r="A158">
        <v>93</v>
      </c>
      <c r="B158">
        <v>4375</v>
      </c>
      <c r="C158">
        <v>42</v>
      </c>
      <c r="D158">
        <v>0.65900000000000003</v>
      </c>
      <c r="E158" s="3">
        <v>3.3000000000000002E-2</v>
      </c>
      <c r="F158">
        <v>0.255</v>
      </c>
      <c r="G158">
        <v>0.83299999999999996</v>
      </c>
      <c r="H158" s="3">
        <v>0.95199999999999996</v>
      </c>
      <c r="I158" s="3">
        <f t="shared" si="2"/>
        <v>4.8000000000000043E-2</v>
      </c>
      <c r="J158">
        <v>19</v>
      </c>
      <c r="K158">
        <v>18</v>
      </c>
      <c r="L158">
        <v>11.7</v>
      </c>
    </row>
    <row r="159" spans="1:12" x14ac:dyDescent="0.2">
      <c r="A159">
        <v>96</v>
      </c>
      <c r="B159">
        <v>4661</v>
      </c>
      <c r="C159">
        <v>86</v>
      </c>
      <c r="D159">
        <v>0.65900000000000003</v>
      </c>
      <c r="E159" s="3">
        <v>0.125</v>
      </c>
      <c r="F159">
        <v>7.0999999999999994E-2</v>
      </c>
      <c r="G159">
        <v>0.84099999999999997</v>
      </c>
      <c r="H159" s="3">
        <v>0.96399999999999997</v>
      </c>
      <c r="I159" s="3">
        <f t="shared" si="2"/>
        <v>3.6000000000000032E-2</v>
      </c>
      <c r="J159">
        <v>67</v>
      </c>
      <c r="K159">
        <v>19</v>
      </c>
      <c r="L159">
        <v>8.4</v>
      </c>
    </row>
    <row r="160" spans="1:12" x14ac:dyDescent="0.2">
      <c r="A160">
        <v>37</v>
      </c>
      <c r="B160">
        <v>1820</v>
      </c>
      <c r="C160">
        <v>90</v>
      </c>
      <c r="D160">
        <v>0.66</v>
      </c>
      <c r="E160" s="3">
        <v>0.151</v>
      </c>
      <c r="F160">
        <v>0.11899999999999999</v>
      </c>
      <c r="G160">
        <v>0.81899999999999995</v>
      </c>
      <c r="H160" s="3">
        <v>0.96799999999999997</v>
      </c>
      <c r="I160" s="3">
        <f t="shared" si="2"/>
        <v>3.2000000000000028E-2</v>
      </c>
      <c r="J160">
        <v>60</v>
      </c>
      <c r="K160">
        <v>5</v>
      </c>
      <c r="L160">
        <v>3.3</v>
      </c>
    </row>
    <row r="161" spans="1:12" x14ac:dyDescent="0.2">
      <c r="A161">
        <v>77</v>
      </c>
      <c r="B161">
        <v>3613</v>
      </c>
      <c r="C161">
        <v>193</v>
      </c>
      <c r="D161">
        <v>0.66</v>
      </c>
      <c r="E161" s="3">
        <v>0.189</v>
      </c>
      <c r="F161">
        <v>0.19600000000000001</v>
      </c>
      <c r="G161">
        <v>0.89200000000000002</v>
      </c>
      <c r="H161" s="3">
        <v>0.96399999999999997</v>
      </c>
      <c r="I161" s="3">
        <f t="shared" si="2"/>
        <v>3.6000000000000032E-2</v>
      </c>
      <c r="J161">
        <v>13</v>
      </c>
      <c r="K161">
        <v>17</v>
      </c>
      <c r="L161">
        <v>4.5999999999999996</v>
      </c>
    </row>
    <row r="162" spans="1:12" x14ac:dyDescent="0.2">
      <c r="A162">
        <v>77</v>
      </c>
      <c r="B162">
        <v>3671</v>
      </c>
      <c r="C162">
        <v>115</v>
      </c>
      <c r="D162">
        <v>0.66</v>
      </c>
      <c r="E162" s="3">
        <v>7.4999999999999997E-2</v>
      </c>
      <c r="F162">
        <v>0.20300000000000001</v>
      </c>
      <c r="G162">
        <v>0.92200000000000004</v>
      </c>
      <c r="H162" s="3">
        <v>0.99099999999999999</v>
      </c>
      <c r="I162" s="3">
        <f t="shared" si="2"/>
        <v>9.000000000000008E-3</v>
      </c>
      <c r="J162">
        <v>88</v>
      </c>
      <c r="K162">
        <v>10</v>
      </c>
      <c r="L162">
        <v>14.9</v>
      </c>
    </row>
    <row r="163" spans="1:12" x14ac:dyDescent="0.2">
      <c r="A163">
        <v>38</v>
      </c>
      <c r="B163">
        <v>1792</v>
      </c>
      <c r="C163">
        <v>54</v>
      </c>
      <c r="D163">
        <v>0.66100000000000003</v>
      </c>
      <c r="E163" s="3">
        <v>4.2000000000000003E-2</v>
      </c>
      <c r="F163">
        <v>0.21</v>
      </c>
      <c r="G163">
        <v>0.82899999999999996</v>
      </c>
      <c r="H163" s="3">
        <v>0.97899999999999998</v>
      </c>
      <c r="I163" s="3">
        <f t="shared" si="2"/>
        <v>2.1000000000000019E-2</v>
      </c>
      <c r="J163">
        <v>59</v>
      </c>
      <c r="K163">
        <v>9</v>
      </c>
      <c r="L163">
        <v>4.5</v>
      </c>
    </row>
    <row r="164" spans="1:12" x14ac:dyDescent="0.2">
      <c r="A164">
        <v>43</v>
      </c>
      <c r="B164">
        <v>1928</v>
      </c>
      <c r="C164">
        <v>96</v>
      </c>
      <c r="D164">
        <v>0.66100000000000003</v>
      </c>
      <c r="E164" s="3">
        <v>0.02</v>
      </c>
      <c r="F164">
        <v>8.2000000000000003E-2</v>
      </c>
      <c r="G164">
        <v>0.98499999999999999</v>
      </c>
      <c r="H164" s="3">
        <v>0.92300000000000004</v>
      </c>
      <c r="I164" s="3">
        <f t="shared" si="2"/>
        <v>7.6999999999999957E-2</v>
      </c>
      <c r="J164">
        <v>18</v>
      </c>
      <c r="K164">
        <v>5</v>
      </c>
      <c r="L164">
        <v>2.9</v>
      </c>
    </row>
    <row r="165" spans="1:12" x14ac:dyDescent="0.2">
      <c r="A165">
        <v>81</v>
      </c>
      <c r="B165">
        <v>3983</v>
      </c>
      <c r="C165">
        <v>52</v>
      </c>
      <c r="D165">
        <v>0.66100000000000003</v>
      </c>
      <c r="E165" s="3">
        <v>4.7E-2</v>
      </c>
      <c r="F165">
        <v>0.20699999999999999</v>
      </c>
      <c r="G165">
        <v>0.88</v>
      </c>
      <c r="H165" s="3">
        <v>0.99299999999999999</v>
      </c>
      <c r="I165" s="3">
        <f t="shared" si="2"/>
        <v>7.0000000000000062E-3</v>
      </c>
      <c r="J165">
        <v>85</v>
      </c>
      <c r="K165">
        <v>5</v>
      </c>
      <c r="L165">
        <v>10.9</v>
      </c>
    </row>
    <row r="166" spans="1:12" x14ac:dyDescent="0.2">
      <c r="A166">
        <v>26</v>
      </c>
      <c r="B166">
        <v>1052</v>
      </c>
      <c r="C166">
        <v>116</v>
      </c>
      <c r="D166">
        <v>0.66200000000000003</v>
      </c>
      <c r="E166" s="3">
        <v>0.11799999999999999</v>
      </c>
      <c r="F166">
        <v>0.10299999999999999</v>
      </c>
      <c r="G166">
        <v>0.92200000000000004</v>
      </c>
      <c r="H166" s="3">
        <v>0.95799999999999996</v>
      </c>
      <c r="I166" s="3">
        <f t="shared" si="2"/>
        <v>4.2000000000000037E-2</v>
      </c>
      <c r="J166">
        <v>71</v>
      </c>
      <c r="K166">
        <v>9</v>
      </c>
      <c r="L166">
        <v>13.1</v>
      </c>
    </row>
    <row r="167" spans="1:12" x14ac:dyDescent="0.2">
      <c r="A167">
        <v>72</v>
      </c>
      <c r="B167">
        <v>3401</v>
      </c>
      <c r="C167">
        <v>29</v>
      </c>
      <c r="D167">
        <v>0.66200000000000003</v>
      </c>
      <c r="E167" s="3">
        <v>0.17299999999999999</v>
      </c>
      <c r="F167">
        <v>6.8000000000000005E-2</v>
      </c>
      <c r="G167">
        <v>0.88900000000000001</v>
      </c>
      <c r="H167" s="3">
        <v>0.95099999999999996</v>
      </c>
      <c r="I167" s="3">
        <f t="shared" si="2"/>
        <v>4.9000000000000044E-2</v>
      </c>
      <c r="J167">
        <v>5</v>
      </c>
      <c r="K167">
        <v>6</v>
      </c>
      <c r="L167">
        <v>13.5</v>
      </c>
    </row>
    <row r="168" spans="1:12" x14ac:dyDescent="0.2">
      <c r="A168">
        <v>33</v>
      </c>
      <c r="B168">
        <v>1490</v>
      </c>
      <c r="C168">
        <v>165</v>
      </c>
      <c r="D168">
        <v>0.66300000000000003</v>
      </c>
      <c r="E168" s="3">
        <v>0.17399999999999999</v>
      </c>
      <c r="F168">
        <v>0.15</v>
      </c>
      <c r="G168">
        <v>0.79300000000000004</v>
      </c>
      <c r="H168" s="3">
        <v>0.94099999999999995</v>
      </c>
      <c r="I168" s="3">
        <f t="shared" si="2"/>
        <v>5.9000000000000052E-2</v>
      </c>
      <c r="J168">
        <v>51</v>
      </c>
      <c r="K168">
        <v>8</v>
      </c>
      <c r="L168">
        <v>3.6</v>
      </c>
    </row>
    <row r="169" spans="1:12" x14ac:dyDescent="0.2">
      <c r="A169">
        <v>68</v>
      </c>
      <c r="B169">
        <v>3188</v>
      </c>
      <c r="C169">
        <v>142</v>
      </c>
      <c r="D169">
        <v>0.66300000000000003</v>
      </c>
      <c r="E169" s="3">
        <v>0.123</v>
      </c>
      <c r="F169">
        <v>8.6999999999999994E-2</v>
      </c>
      <c r="G169">
        <v>0.88</v>
      </c>
      <c r="H169" s="3">
        <v>0.91</v>
      </c>
      <c r="I169" s="3">
        <f t="shared" si="2"/>
        <v>8.9999999999999969E-2</v>
      </c>
      <c r="J169">
        <v>13</v>
      </c>
      <c r="K169">
        <v>0</v>
      </c>
      <c r="L169">
        <v>11</v>
      </c>
    </row>
    <row r="170" spans="1:12" x14ac:dyDescent="0.2">
      <c r="A170">
        <v>69</v>
      </c>
      <c r="B170">
        <v>3194</v>
      </c>
      <c r="C170">
        <v>129</v>
      </c>
      <c r="D170">
        <v>0.66300000000000003</v>
      </c>
      <c r="E170" s="3">
        <v>0.151</v>
      </c>
      <c r="F170">
        <v>9.1999999999999998E-2</v>
      </c>
      <c r="G170">
        <v>0.97899999999999998</v>
      </c>
      <c r="H170" s="3">
        <v>0.99199999999999999</v>
      </c>
      <c r="I170" s="3">
        <f t="shared" si="2"/>
        <v>8.0000000000000071E-3</v>
      </c>
      <c r="J170">
        <v>81</v>
      </c>
      <c r="K170">
        <v>0</v>
      </c>
      <c r="L170">
        <v>3.6</v>
      </c>
    </row>
    <row r="171" spans="1:12" x14ac:dyDescent="0.2">
      <c r="A171">
        <v>67</v>
      </c>
      <c r="B171">
        <v>3241</v>
      </c>
      <c r="C171">
        <v>115</v>
      </c>
      <c r="D171">
        <v>0.66300000000000003</v>
      </c>
      <c r="E171" s="3">
        <v>4.3999999999999997E-2</v>
      </c>
      <c r="F171">
        <v>0.26800000000000002</v>
      </c>
      <c r="G171">
        <v>0.96399999999999997</v>
      </c>
      <c r="H171" s="3">
        <v>0.98099999999999998</v>
      </c>
      <c r="I171" s="3">
        <f t="shared" si="2"/>
        <v>1.9000000000000017E-2</v>
      </c>
      <c r="J171">
        <v>2</v>
      </c>
      <c r="K171">
        <v>13</v>
      </c>
      <c r="L171">
        <v>8.3000000000000007</v>
      </c>
    </row>
    <row r="172" spans="1:12" x14ac:dyDescent="0.2">
      <c r="A172">
        <v>76</v>
      </c>
      <c r="B172">
        <v>3635</v>
      </c>
      <c r="C172">
        <v>107</v>
      </c>
      <c r="D172">
        <v>0.66300000000000003</v>
      </c>
      <c r="E172" s="3">
        <v>0.16400000000000001</v>
      </c>
      <c r="F172">
        <v>0.19800000000000001</v>
      </c>
      <c r="G172">
        <v>0.79900000000000004</v>
      </c>
      <c r="H172" s="3">
        <v>0.9</v>
      </c>
      <c r="I172" s="3">
        <f t="shared" si="2"/>
        <v>9.9999999999999978E-2</v>
      </c>
      <c r="J172">
        <v>60</v>
      </c>
      <c r="K172">
        <v>19</v>
      </c>
      <c r="L172">
        <v>12.7</v>
      </c>
    </row>
    <row r="173" spans="1:12" x14ac:dyDescent="0.2">
      <c r="A173">
        <v>83</v>
      </c>
      <c r="B173">
        <v>3993</v>
      </c>
      <c r="C173">
        <v>134</v>
      </c>
      <c r="D173">
        <v>0.66300000000000003</v>
      </c>
      <c r="E173" s="3">
        <v>0.19800000000000001</v>
      </c>
      <c r="F173">
        <v>0.25700000000000001</v>
      </c>
      <c r="G173">
        <v>0.86499999999999999</v>
      </c>
      <c r="H173" s="3">
        <v>0.93300000000000005</v>
      </c>
      <c r="I173" s="3">
        <f t="shared" si="2"/>
        <v>6.6999999999999948E-2</v>
      </c>
      <c r="J173">
        <v>80</v>
      </c>
      <c r="K173">
        <v>11</v>
      </c>
      <c r="L173">
        <v>6.2</v>
      </c>
    </row>
    <row r="174" spans="1:12" x14ac:dyDescent="0.2">
      <c r="A174">
        <v>90</v>
      </c>
      <c r="B174">
        <v>4456</v>
      </c>
      <c r="C174">
        <v>67</v>
      </c>
      <c r="D174">
        <v>0.66300000000000003</v>
      </c>
      <c r="E174" s="3">
        <v>0.16900000000000001</v>
      </c>
      <c r="F174">
        <v>0.25900000000000001</v>
      </c>
      <c r="G174">
        <v>0.91600000000000004</v>
      </c>
      <c r="H174" s="3">
        <v>0.96899999999999997</v>
      </c>
      <c r="I174" s="3">
        <f t="shared" si="2"/>
        <v>3.1000000000000028E-2</v>
      </c>
      <c r="J174">
        <v>77</v>
      </c>
      <c r="K174">
        <v>5</v>
      </c>
      <c r="L174">
        <v>7.9</v>
      </c>
    </row>
    <row r="175" spans="1:12" x14ac:dyDescent="0.2">
      <c r="A175">
        <v>53</v>
      </c>
      <c r="B175">
        <v>2489</v>
      </c>
      <c r="C175">
        <v>107</v>
      </c>
      <c r="D175">
        <v>0.66400000000000003</v>
      </c>
      <c r="E175" s="3">
        <v>0.16300000000000001</v>
      </c>
      <c r="F175">
        <v>0.22</v>
      </c>
      <c r="G175">
        <v>0.95599999999999996</v>
      </c>
      <c r="H175" s="3">
        <v>0.99199999999999999</v>
      </c>
      <c r="I175" s="3">
        <f t="shared" si="2"/>
        <v>8.0000000000000071E-3</v>
      </c>
      <c r="J175">
        <v>36</v>
      </c>
      <c r="K175">
        <v>11</v>
      </c>
      <c r="L175">
        <v>1.7</v>
      </c>
    </row>
    <row r="176" spans="1:12" x14ac:dyDescent="0.2">
      <c r="A176">
        <v>73</v>
      </c>
      <c r="B176">
        <v>3558</v>
      </c>
      <c r="C176">
        <v>186</v>
      </c>
      <c r="D176">
        <v>0.66400000000000003</v>
      </c>
      <c r="E176" s="3">
        <v>0.14399999999999999</v>
      </c>
      <c r="F176">
        <v>0.11700000000000001</v>
      </c>
      <c r="G176">
        <v>0.95599999999999996</v>
      </c>
      <c r="H176" s="3">
        <v>0.91</v>
      </c>
      <c r="I176" s="3">
        <f t="shared" si="2"/>
        <v>8.9999999999999969E-2</v>
      </c>
      <c r="J176">
        <v>92</v>
      </c>
      <c r="K176">
        <v>8</v>
      </c>
      <c r="L176">
        <v>13.7</v>
      </c>
    </row>
    <row r="177" spans="1:12" x14ac:dyDescent="0.2">
      <c r="A177">
        <v>93</v>
      </c>
      <c r="B177">
        <v>4423</v>
      </c>
      <c r="C177">
        <v>21</v>
      </c>
      <c r="D177">
        <v>0.66400000000000003</v>
      </c>
      <c r="E177" s="3">
        <v>0.157</v>
      </c>
      <c r="F177">
        <v>0.17599999999999999</v>
      </c>
      <c r="G177">
        <v>0.755</v>
      </c>
      <c r="H177" s="3">
        <v>0.96099999999999997</v>
      </c>
      <c r="I177" s="3">
        <f t="shared" si="2"/>
        <v>3.9000000000000035E-2</v>
      </c>
      <c r="J177">
        <v>21</v>
      </c>
      <c r="K177">
        <v>11</v>
      </c>
      <c r="L177">
        <v>10.9</v>
      </c>
    </row>
    <row r="178" spans="1:12" x14ac:dyDescent="0.2">
      <c r="A178">
        <v>95</v>
      </c>
      <c r="B178">
        <v>4638</v>
      </c>
      <c r="C178">
        <v>13</v>
      </c>
      <c r="D178">
        <v>0.66600000000000004</v>
      </c>
      <c r="E178" s="3">
        <v>8.5000000000000006E-2</v>
      </c>
      <c r="F178">
        <v>0.16</v>
      </c>
      <c r="G178">
        <v>0.89900000000000002</v>
      </c>
      <c r="H178" s="3">
        <v>0.98499999999999999</v>
      </c>
      <c r="I178" s="3">
        <f t="shared" si="2"/>
        <v>1.5000000000000013E-2</v>
      </c>
      <c r="J178">
        <v>12</v>
      </c>
      <c r="K178">
        <v>5</v>
      </c>
      <c r="L178">
        <v>2.8</v>
      </c>
    </row>
    <row r="179" spans="1:12" x14ac:dyDescent="0.2">
      <c r="A179">
        <v>98</v>
      </c>
      <c r="B179">
        <v>4817</v>
      </c>
      <c r="C179">
        <v>187</v>
      </c>
      <c r="D179">
        <v>0.66600000000000004</v>
      </c>
      <c r="E179" s="3">
        <v>0.124</v>
      </c>
      <c r="F179">
        <v>0.26700000000000002</v>
      </c>
      <c r="G179">
        <v>0.75600000000000001</v>
      </c>
      <c r="H179" s="3">
        <v>0.96499999999999997</v>
      </c>
      <c r="I179" s="3">
        <f t="shared" si="2"/>
        <v>3.5000000000000031E-2</v>
      </c>
      <c r="J179">
        <v>47</v>
      </c>
      <c r="K179">
        <v>15</v>
      </c>
      <c r="L179">
        <v>14.4</v>
      </c>
    </row>
    <row r="180" spans="1:12" x14ac:dyDescent="0.2">
      <c r="A180">
        <v>30</v>
      </c>
      <c r="B180">
        <v>1278</v>
      </c>
      <c r="C180">
        <v>108</v>
      </c>
      <c r="D180">
        <v>0.66700000000000004</v>
      </c>
      <c r="E180" s="3">
        <v>0.03</v>
      </c>
      <c r="F180">
        <v>9.7000000000000003E-2</v>
      </c>
      <c r="G180">
        <v>0.75600000000000001</v>
      </c>
      <c r="H180" s="3">
        <v>0.95799999999999996</v>
      </c>
      <c r="I180" s="3">
        <f t="shared" si="2"/>
        <v>4.2000000000000037E-2</v>
      </c>
      <c r="J180">
        <v>14</v>
      </c>
      <c r="K180">
        <v>16</v>
      </c>
      <c r="L180">
        <v>1.5</v>
      </c>
    </row>
    <row r="181" spans="1:12" x14ac:dyDescent="0.2">
      <c r="A181">
        <v>70</v>
      </c>
      <c r="B181">
        <v>3455</v>
      </c>
      <c r="C181">
        <v>132</v>
      </c>
      <c r="D181">
        <v>0.66700000000000004</v>
      </c>
      <c r="E181" s="3">
        <v>0.155</v>
      </c>
      <c r="F181">
        <v>0.11</v>
      </c>
      <c r="G181">
        <v>0.84399999999999997</v>
      </c>
      <c r="H181" s="3">
        <v>0.93600000000000005</v>
      </c>
      <c r="I181" s="3">
        <f t="shared" si="2"/>
        <v>6.3999999999999946E-2</v>
      </c>
      <c r="J181">
        <v>80</v>
      </c>
      <c r="K181">
        <v>15</v>
      </c>
      <c r="L181">
        <v>13.5</v>
      </c>
    </row>
    <row r="182" spans="1:12" x14ac:dyDescent="0.2">
      <c r="A182">
        <v>89</v>
      </c>
      <c r="B182">
        <v>4180</v>
      </c>
      <c r="C182">
        <v>74</v>
      </c>
      <c r="D182">
        <v>0.66700000000000004</v>
      </c>
      <c r="E182" s="3">
        <v>0.17100000000000001</v>
      </c>
      <c r="F182">
        <v>0.13800000000000001</v>
      </c>
      <c r="G182">
        <v>0.752</v>
      </c>
      <c r="H182" s="3">
        <v>0.98</v>
      </c>
      <c r="I182" s="3">
        <f t="shared" si="2"/>
        <v>2.0000000000000018E-2</v>
      </c>
      <c r="J182">
        <v>19</v>
      </c>
      <c r="K182">
        <v>3</v>
      </c>
      <c r="L182">
        <v>3.4</v>
      </c>
    </row>
    <row r="183" spans="1:12" x14ac:dyDescent="0.2">
      <c r="A183">
        <v>94</v>
      </c>
      <c r="B183">
        <v>4637</v>
      </c>
      <c r="C183">
        <v>43</v>
      </c>
      <c r="D183">
        <v>0.66700000000000004</v>
      </c>
      <c r="E183" s="3">
        <v>3.3000000000000002E-2</v>
      </c>
      <c r="F183">
        <v>0.29099999999999998</v>
      </c>
      <c r="G183">
        <v>0.72799999999999998</v>
      </c>
      <c r="H183" s="3">
        <v>0.92300000000000004</v>
      </c>
      <c r="I183" s="3">
        <f t="shared" si="2"/>
        <v>7.6999999999999957E-2</v>
      </c>
      <c r="J183">
        <v>2</v>
      </c>
      <c r="K183">
        <v>19</v>
      </c>
      <c r="L183">
        <v>4.7</v>
      </c>
    </row>
    <row r="184" spans="1:12" x14ac:dyDescent="0.2">
      <c r="A184">
        <v>54</v>
      </c>
      <c r="B184">
        <v>2581</v>
      </c>
      <c r="C184">
        <v>147</v>
      </c>
      <c r="D184">
        <v>0.66800000000000004</v>
      </c>
      <c r="E184" s="3">
        <v>3.5000000000000003E-2</v>
      </c>
      <c r="F184">
        <v>6.3E-2</v>
      </c>
      <c r="G184">
        <v>0.94299999999999995</v>
      </c>
      <c r="H184" s="3">
        <v>0.91800000000000004</v>
      </c>
      <c r="I184" s="3">
        <f t="shared" si="2"/>
        <v>8.1999999999999962E-2</v>
      </c>
      <c r="J184">
        <v>56</v>
      </c>
      <c r="K184">
        <v>4</v>
      </c>
      <c r="L184">
        <v>6.6</v>
      </c>
    </row>
    <row r="185" spans="1:12" x14ac:dyDescent="0.2">
      <c r="A185">
        <v>65</v>
      </c>
      <c r="B185">
        <v>3186</v>
      </c>
      <c r="C185">
        <v>143</v>
      </c>
      <c r="D185">
        <v>0.66800000000000004</v>
      </c>
      <c r="E185" s="3">
        <v>1.9E-2</v>
      </c>
      <c r="F185">
        <v>0.19500000000000001</v>
      </c>
      <c r="G185">
        <v>0.88400000000000001</v>
      </c>
      <c r="H185" s="3">
        <v>0.97399999999999998</v>
      </c>
      <c r="I185" s="3">
        <f t="shared" si="2"/>
        <v>2.6000000000000023E-2</v>
      </c>
      <c r="J185">
        <v>71</v>
      </c>
      <c r="K185">
        <v>4</v>
      </c>
      <c r="L185">
        <v>13.5</v>
      </c>
    </row>
    <row r="186" spans="1:12" x14ac:dyDescent="0.2">
      <c r="A186">
        <v>75</v>
      </c>
      <c r="B186">
        <v>3693</v>
      </c>
      <c r="C186">
        <v>60</v>
      </c>
      <c r="D186">
        <v>0.66800000000000004</v>
      </c>
      <c r="E186" s="3">
        <v>0.17299999999999999</v>
      </c>
      <c r="F186">
        <v>9.8000000000000004E-2</v>
      </c>
      <c r="G186">
        <v>0.91</v>
      </c>
      <c r="H186" s="3">
        <v>0.94299999999999995</v>
      </c>
      <c r="I186" s="3">
        <f t="shared" si="2"/>
        <v>5.7000000000000051E-2</v>
      </c>
      <c r="J186">
        <v>74</v>
      </c>
      <c r="K186">
        <v>14</v>
      </c>
      <c r="L186">
        <v>10.199999999999999</v>
      </c>
    </row>
    <row r="187" spans="1:12" x14ac:dyDescent="0.2">
      <c r="A187">
        <v>87</v>
      </c>
      <c r="B187">
        <v>4323</v>
      </c>
      <c r="C187">
        <v>26</v>
      </c>
      <c r="D187">
        <v>0.66800000000000004</v>
      </c>
      <c r="E187" s="3">
        <v>7.2999999999999995E-2</v>
      </c>
      <c r="F187">
        <v>0.27600000000000002</v>
      </c>
      <c r="G187">
        <v>0.878</v>
      </c>
      <c r="H187" s="3">
        <v>0.90500000000000003</v>
      </c>
      <c r="I187" s="3">
        <f t="shared" si="2"/>
        <v>9.4999999999999973E-2</v>
      </c>
      <c r="J187">
        <v>59</v>
      </c>
      <c r="K187">
        <v>4</v>
      </c>
      <c r="L187">
        <v>3.2</v>
      </c>
    </row>
    <row r="188" spans="1:12" x14ac:dyDescent="0.2">
      <c r="A188">
        <v>96</v>
      </c>
      <c r="B188">
        <v>4650</v>
      </c>
      <c r="C188">
        <v>56</v>
      </c>
      <c r="D188">
        <v>0.66800000000000004</v>
      </c>
      <c r="E188" s="3">
        <v>4.9000000000000002E-2</v>
      </c>
      <c r="F188">
        <v>0.18099999999999999</v>
      </c>
      <c r="G188">
        <v>0.78700000000000003</v>
      </c>
      <c r="H188" s="3">
        <v>0.98299999999999998</v>
      </c>
      <c r="I188" s="3">
        <f t="shared" si="2"/>
        <v>1.7000000000000015E-2</v>
      </c>
      <c r="J188">
        <v>28</v>
      </c>
      <c r="K188">
        <v>7</v>
      </c>
      <c r="L188">
        <v>5.0999999999999996</v>
      </c>
    </row>
    <row r="189" spans="1:12" x14ac:dyDescent="0.2">
      <c r="A189">
        <v>52</v>
      </c>
      <c r="B189">
        <v>2522</v>
      </c>
      <c r="C189">
        <v>140</v>
      </c>
      <c r="D189">
        <v>0.66900000000000004</v>
      </c>
      <c r="E189" s="3">
        <v>7.0999999999999994E-2</v>
      </c>
      <c r="F189">
        <v>0.17599999999999999</v>
      </c>
      <c r="G189">
        <v>0.90700000000000003</v>
      </c>
      <c r="H189" s="3">
        <v>0.91500000000000004</v>
      </c>
      <c r="I189" s="3">
        <f t="shared" si="2"/>
        <v>8.4999999999999964E-2</v>
      </c>
      <c r="J189">
        <v>38</v>
      </c>
      <c r="K189">
        <v>13</v>
      </c>
      <c r="L189">
        <v>14.6</v>
      </c>
    </row>
    <row r="190" spans="1:12" x14ac:dyDescent="0.2">
      <c r="A190">
        <v>53</v>
      </c>
      <c r="B190">
        <v>2524</v>
      </c>
      <c r="C190">
        <v>141</v>
      </c>
      <c r="D190">
        <v>0.66900000000000004</v>
      </c>
      <c r="E190" s="3">
        <v>9.0999999999999998E-2</v>
      </c>
      <c r="F190">
        <v>6.3E-2</v>
      </c>
      <c r="G190">
        <v>0.84</v>
      </c>
      <c r="H190" s="3">
        <v>0.98099999999999998</v>
      </c>
      <c r="I190" s="3">
        <f t="shared" si="2"/>
        <v>1.9000000000000017E-2</v>
      </c>
      <c r="J190">
        <v>85</v>
      </c>
      <c r="K190">
        <v>14</v>
      </c>
      <c r="L190">
        <v>14</v>
      </c>
    </row>
    <row r="191" spans="1:12" x14ac:dyDescent="0.2">
      <c r="A191">
        <v>71</v>
      </c>
      <c r="B191">
        <v>3378</v>
      </c>
      <c r="C191">
        <v>100</v>
      </c>
      <c r="D191">
        <v>0.66900000000000004</v>
      </c>
      <c r="E191" s="3">
        <v>9.6000000000000002E-2</v>
      </c>
      <c r="F191">
        <v>0.28299999999999997</v>
      </c>
      <c r="G191">
        <v>0.98699999999999999</v>
      </c>
      <c r="H191" s="3">
        <v>0.93</v>
      </c>
      <c r="I191" s="3">
        <f t="shared" si="2"/>
        <v>6.9999999999999951E-2</v>
      </c>
      <c r="J191">
        <v>96</v>
      </c>
      <c r="K191">
        <v>3</v>
      </c>
      <c r="L191">
        <v>6.7</v>
      </c>
    </row>
    <row r="192" spans="1:12" x14ac:dyDescent="0.2">
      <c r="A192">
        <v>73</v>
      </c>
      <c r="B192">
        <v>3451</v>
      </c>
      <c r="C192">
        <v>75</v>
      </c>
      <c r="D192">
        <v>0.67</v>
      </c>
      <c r="E192" s="3">
        <v>0.13900000000000001</v>
      </c>
      <c r="F192">
        <v>0.11700000000000001</v>
      </c>
      <c r="G192">
        <v>0.89200000000000002</v>
      </c>
      <c r="H192" s="3">
        <v>0.93100000000000005</v>
      </c>
      <c r="I192" s="3">
        <f t="shared" si="2"/>
        <v>6.899999999999995E-2</v>
      </c>
      <c r="J192">
        <v>17</v>
      </c>
      <c r="K192">
        <v>12</v>
      </c>
      <c r="L192">
        <v>13.7</v>
      </c>
    </row>
    <row r="193" spans="1:12" x14ac:dyDescent="0.2">
      <c r="A193">
        <v>47</v>
      </c>
      <c r="B193">
        <v>2089</v>
      </c>
      <c r="C193">
        <v>26</v>
      </c>
      <c r="D193">
        <v>0.67100000000000004</v>
      </c>
      <c r="E193" s="3">
        <v>3.5000000000000003E-2</v>
      </c>
      <c r="F193">
        <v>0.109</v>
      </c>
      <c r="G193">
        <v>0.72399999999999998</v>
      </c>
      <c r="H193" s="3">
        <v>0.90300000000000002</v>
      </c>
      <c r="I193" s="3">
        <f t="shared" si="2"/>
        <v>9.6999999999999975E-2</v>
      </c>
      <c r="J193">
        <v>77</v>
      </c>
      <c r="K193">
        <v>0</v>
      </c>
      <c r="L193">
        <v>4.0999999999999996</v>
      </c>
    </row>
    <row r="194" spans="1:12" x14ac:dyDescent="0.2">
      <c r="A194">
        <v>47</v>
      </c>
      <c r="B194">
        <v>2105</v>
      </c>
      <c r="C194">
        <v>153</v>
      </c>
      <c r="D194">
        <v>0.67100000000000004</v>
      </c>
      <c r="E194" s="3">
        <v>7.5999999999999998E-2</v>
      </c>
      <c r="F194">
        <v>0.29199999999999998</v>
      </c>
      <c r="G194">
        <v>0.86199999999999999</v>
      </c>
      <c r="H194" s="3">
        <v>0.95599999999999996</v>
      </c>
      <c r="I194" s="3">
        <f t="shared" si="2"/>
        <v>4.4000000000000039E-2</v>
      </c>
      <c r="J194">
        <v>60</v>
      </c>
      <c r="K194">
        <v>13</v>
      </c>
      <c r="L194">
        <v>12.7</v>
      </c>
    </row>
    <row r="195" spans="1:12" x14ac:dyDescent="0.2">
      <c r="A195">
        <v>59</v>
      </c>
      <c r="B195">
        <v>2850</v>
      </c>
      <c r="C195">
        <v>18</v>
      </c>
      <c r="D195">
        <v>0.67100000000000004</v>
      </c>
      <c r="E195" s="3">
        <v>0.18</v>
      </c>
      <c r="F195">
        <v>0.19900000000000001</v>
      </c>
      <c r="G195">
        <v>0.73399999999999999</v>
      </c>
      <c r="H195" s="3">
        <v>0.96599999999999997</v>
      </c>
      <c r="I195" s="3">
        <f t="shared" ref="I195:I258" si="3">1-H195</f>
        <v>3.400000000000003E-2</v>
      </c>
      <c r="J195">
        <v>3</v>
      </c>
      <c r="K195">
        <v>13</v>
      </c>
      <c r="L195">
        <v>7.4</v>
      </c>
    </row>
    <row r="196" spans="1:12" x14ac:dyDescent="0.2">
      <c r="A196">
        <v>65</v>
      </c>
      <c r="B196">
        <v>3012</v>
      </c>
      <c r="C196">
        <v>139</v>
      </c>
      <c r="D196">
        <v>0.67100000000000004</v>
      </c>
      <c r="E196" s="3">
        <v>6.6000000000000003E-2</v>
      </c>
      <c r="F196">
        <v>0.26</v>
      </c>
      <c r="G196">
        <v>0.77500000000000002</v>
      </c>
      <c r="H196" s="3">
        <v>0.96299999999999997</v>
      </c>
      <c r="I196" s="3">
        <f t="shared" si="3"/>
        <v>3.7000000000000033E-2</v>
      </c>
      <c r="J196">
        <v>62</v>
      </c>
      <c r="K196">
        <v>6</v>
      </c>
      <c r="L196">
        <v>7.3</v>
      </c>
    </row>
    <row r="197" spans="1:12" x14ac:dyDescent="0.2">
      <c r="A197">
        <v>103</v>
      </c>
      <c r="B197">
        <v>4953</v>
      </c>
      <c r="C197">
        <v>65</v>
      </c>
      <c r="D197">
        <v>0.67100000000000004</v>
      </c>
      <c r="E197" s="3">
        <v>7.4999999999999997E-2</v>
      </c>
      <c r="F197">
        <v>0.13300000000000001</v>
      </c>
      <c r="G197">
        <v>0.72699999999999998</v>
      </c>
      <c r="H197" s="3">
        <v>0.97599999999999998</v>
      </c>
      <c r="I197" s="3">
        <f t="shared" si="3"/>
        <v>2.4000000000000021E-2</v>
      </c>
      <c r="J197">
        <v>5</v>
      </c>
      <c r="K197">
        <v>15</v>
      </c>
      <c r="L197">
        <v>8.1999999999999993</v>
      </c>
    </row>
    <row r="198" spans="1:12" x14ac:dyDescent="0.2">
      <c r="A198">
        <v>45</v>
      </c>
      <c r="B198">
        <v>2017</v>
      </c>
      <c r="C198">
        <v>66</v>
      </c>
      <c r="D198">
        <v>0.67200000000000004</v>
      </c>
      <c r="E198" s="3">
        <v>0.09</v>
      </c>
      <c r="F198">
        <v>8.5000000000000006E-2</v>
      </c>
      <c r="G198">
        <v>0.82399999999999995</v>
      </c>
      <c r="H198" s="3">
        <v>0.97399999999999998</v>
      </c>
      <c r="I198" s="3">
        <f t="shared" si="3"/>
        <v>2.6000000000000023E-2</v>
      </c>
      <c r="J198">
        <v>80</v>
      </c>
      <c r="K198">
        <v>8</v>
      </c>
      <c r="L198">
        <v>7.4</v>
      </c>
    </row>
    <row r="199" spans="1:12" x14ac:dyDescent="0.2">
      <c r="A199">
        <v>61</v>
      </c>
      <c r="B199">
        <v>3019</v>
      </c>
      <c r="C199">
        <v>59</v>
      </c>
      <c r="D199">
        <v>0.67200000000000004</v>
      </c>
      <c r="E199" s="3">
        <v>4.2000000000000003E-2</v>
      </c>
      <c r="F199">
        <v>0.25800000000000001</v>
      </c>
      <c r="G199">
        <v>0.96099999999999997</v>
      </c>
      <c r="H199" s="3">
        <v>0.91100000000000003</v>
      </c>
      <c r="I199" s="3">
        <f t="shared" si="3"/>
        <v>8.8999999999999968E-2</v>
      </c>
      <c r="J199">
        <v>54</v>
      </c>
      <c r="K199">
        <v>6</v>
      </c>
      <c r="L199">
        <v>9.1</v>
      </c>
    </row>
    <row r="200" spans="1:12" x14ac:dyDescent="0.2">
      <c r="A200">
        <v>82</v>
      </c>
      <c r="B200">
        <v>3895</v>
      </c>
      <c r="C200">
        <v>161</v>
      </c>
      <c r="D200">
        <v>0.67200000000000004</v>
      </c>
      <c r="E200" s="3">
        <v>0.105</v>
      </c>
      <c r="F200">
        <v>0.218</v>
      </c>
      <c r="G200">
        <v>0.95399999999999996</v>
      </c>
      <c r="H200" s="3">
        <v>0.91600000000000004</v>
      </c>
      <c r="I200" s="3">
        <f t="shared" si="3"/>
        <v>8.3999999999999964E-2</v>
      </c>
      <c r="J200">
        <v>58</v>
      </c>
      <c r="K200">
        <v>9</v>
      </c>
      <c r="L200">
        <v>2.2000000000000002</v>
      </c>
    </row>
    <row r="201" spans="1:12" x14ac:dyDescent="0.2">
      <c r="A201">
        <v>88</v>
      </c>
      <c r="B201">
        <v>4227</v>
      </c>
      <c r="C201">
        <v>68</v>
      </c>
      <c r="D201">
        <v>0.67200000000000004</v>
      </c>
      <c r="E201" s="3">
        <v>3.5999999999999997E-2</v>
      </c>
      <c r="F201">
        <v>7.1999999999999995E-2</v>
      </c>
      <c r="G201">
        <v>0.88800000000000001</v>
      </c>
      <c r="H201" s="3">
        <v>0.96</v>
      </c>
      <c r="I201" s="3">
        <f t="shared" si="3"/>
        <v>4.0000000000000036E-2</v>
      </c>
      <c r="J201">
        <v>24</v>
      </c>
      <c r="K201">
        <v>7</v>
      </c>
      <c r="L201">
        <v>9</v>
      </c>
    </row>
    <row r="202" spans="1:12" x14ac:dyDescent="0.2">
      <c r="A202">
        <v>94</v>
      </c>
      <c r="B202">
        <v>4634</v>
      </c>
      <c r="C202">
        <v>41</v>
      </c>
      <c r="D202">
        <v>0.67200000000000004</v>
      </c>
      <c r="E202" s="3">
        <v>0.183</v>
      </c>
      <c r="F202">
        <v>8.1000000000000003E-2</v>
      </c>
      <c r="G202">
        <v>0.80600000000000005</v>
      </c>
      <c r="H202" s="3">
        <v>0.95699999999999996</v>
      </c>
      <c r="I202" s="3">
        <f t="shared" si="3"/>
        <v>4.3000000000000038E-2</v>
      </c>
      <c r="J202">
        <v>9</v>
      </c>
      <c r="K202">
        <v>17</v>
      </c>
      <c r="L202">
        <v>11.6</v>
      </c>
    </row>
    <row r="203" spans="1:12" x14ac:dyDescent="0.2">
      <c r="A203">
        <v>100</v>
      </c>
      <c r="B203">
        <v>4802</v>
      </c>
      <c r="C203">
        <v>71</v>
      </c>
      <c r="D203">
        <v>0.67200000000000004</v>
      </c>
      <c r="E203" s="3">
        <v>1.2E-2</v>
      </c>
      <c r="F203">
        <v>0.20799999999999999</v>
      </c>
      <c r="G203">
        <v>0.94299999999999995</v>
      </c>
      <c r="H203" s="3">
        <v>0.92600000000000005</v>
      </c>
      <c r="I203" s="3">
        <f t="shared" si="3"/>
        <v>7.3999999999999955E-2</v>
      </c>
      <c r="J203">
        <v>28</v>
      </c>
      <c r="K203">
        <v>11</v>
      </c>
      <c r="L203">
        <v>5.3</v>
      </c>
    </row>
    <row r="204" spans="1:12" x14ac:dyDescent="0.2">
      <c r="A204">
        <v>80</v>
      </c>
      <c r="B204">
        <v>3776</v>
      </c>
      <c r="C204">
        <v>71</v>
      </c>
      <c r="D204">
        <v>0.67300000000000004</v>
      </c>
      <c r="E204" s="3">
        <v>0.16200000000000001</v>
      </c>
      <c r="F204">
        <v>8.8999999999999996E-2</v>
      </c>
      <c r="G204">
        <v>0.85699999999999998</v>
      </c>
      <c r="H204" s="3">
        <v>0.93100000000000005</v>
      </c>
      <c r="I204" s="3">
        <f t="shared" si="3"/>
        <v>6.899999999999995E-2</v>
      </c>
      <c r="J204">
        <v>11</v>
      </c>
      <c r="K204">
        <v>6</v>
      </c>
      <c r="L204">
        <v>13.5</v>
      </c>
    </row>
    <row r="205" spans="1:12" x14ac:dyDescent="0.2">
      <c r="A205">
        <v>30</v>
      </c>
      <c r="B205">
        <v>1277</v>
      </c>
      <c r="C205">
        <v>49</v>
      </c>
      <c r="D205">
        <v>0.67400000000000004</v>
      </c>
      <c r="E205" s="3">
        <v>0.124</v>
      </c>
      <c r="F205">
        <v>0.14799999999999999</v>
      </c>
      <c r="G205">
        <v>0.82299999999999995</v>
      </c>
      <c r="H205" s="3">
        <v>0.95199999999999996</v>
      </c>
      <c r="I205" s="3">
        <f t="shared" si="3"/>
        <v>4.8000000000000043E-2</v>
      </c>
      <c r="J205">
        <v>34</v>
      </c>
      <c r="K205">
        <v>11</v>
      </c>
      <c r="L205">
        <v>11.8</v>
      </c>
    </row>
    <row r="206" spans="1:12" x14ac:dyDescent="0.2">
      <c r="A206">
        <v>85</v>
      </c>
      <c r="B206">
        <v>4021</v>
      </c>
      <c r="C206">
        <v>145</v>
      </c>
      <c r="D206">
        <v>0.67400000000000004</v>
      </c>
      <c r="E206" s="3">
        <v>0.17499999999999999</v>
      </c>
      <c r="F206">
        <v>0.14599999999999999</v>
      </c>
      <c r="G206">
        <v>0.83</v>
      </c>
      <c r="H206" s="3">
        <v>0.97399999999999998</v>
      </c>
      <c r="I206" s="3">
        <f t="shared" si="3"/>
        <v>2.6000000000000023E-2</v>
      </c>
      <c r="J206">
        <v>2</v>
      </c>
      <c r="K206">
        <v>12</v>
      </c>
      <c r="L206">
        <v>3.4</v>
      </c>
    </row>
    <row r="207" spans="1:12" x14ac:dyDescent="0.2">
      <c r="A207">
        <v>42</v>
      </c>
      <c r="B207">
        <v>1928</v>
      </c>
      <c r="C207">
        <v>44</v>
      </c>
      <c r="D207">
        <v>0.67500000000000004</v>
      </c>
      <c r="E207" s="3">
        <v>0.13100000000000001</v>
      </c>
      <c r="F207">
        <v>0.17499999999999999</v>
      </c>
      <c r="G207">
        <v>0.75600000000000001</v>
      </c>
      <c r="H207" s="3">
        <v>0.92200000000000004</v>
      </c>
      <c r="I207" s="3">
        <f t="shared" si="3"/>
        <v>7.7999999999999958E-2</v>
      </c>
      <c r="J207">
        <v>94</v>
      </c>
      <c r="K207">
        <v>2</v>
      </c>
      <c r="L207">
        <v>8.3000000000000007</v>
      </c>
    </row>
    <row r="208" spans="1:12" x14ac:dyDescent="0.2">
      <c r="A208">
        <v>35</v>
      </c>
      <c r="B208">
        <v>1643</v>
      </c>
      <c r="C208">
        <v>68</v>
      </c>
      <c r="D208">
        <v>0.67700000000000005</v>
      </c>
      <c r="E208" s="3">
        <v>0.19700000000000001</v>
      </c>
      <c r="F208">
        <v>0.151</v>
      </c>
      <c r="G208">
        <v>0.73899999999999999</v>
      </c>
      <c r="H208" s="3">
        <v>0.94</v>
      </c>
      <c r="I208" s="3">
        <f t="shared" si="3"/>
        <v>6.0000000000000053E-2</v>
      </c>
      <c r="J208">
        <v>44</v>
      </c>
      <c r="K208">
        <v>9</v>
      </c>
      <c r="L208">
        <v>12.9</v>
      </c>
    </row>
    <row r="209" spans="1:12" x14ac:dyDescent="0.2">
      <c r="A209">
        <v>74</v>
      </c>
      <c r="B209">
        <v>3468</v>
      </c>
      <c r="C209">
        <v>110</v>
      </c>
      <c r="D209">
        <v>0.67700000000000005</v>
      </c>
      <c r="E209" s="3">
        <v>3.2000000000000001E-2</v>
      </c>
      <c r="F209">
        <v>0.29499999999999998</v>
      </c>
      <c r="G209">
        <v>0.92800000000000005</v>
      </c>
      <c r="H209" s="3">
        <v>0.94499999999999995</v>
      </c>
      <c r="I209" s="3">
        <f t="shared" si="3"/>
        <v>5.5000000000000049E-2</v>
      </c>
      <c r="J209">
        <v>1</v>
      </c>
      <c r="K209">
        <v>8</v>
      </c>
      <c r="L209">
        <v>13.5</v>
      </c>
    </row>
    <row r="210" spans="1:12" x14ac:dyDescent="0.2">
      <c r="A210">
        <v>77</v>
      </c>
      <c r="B210">
        <v>3583</v>
      </c>
      <c r="C210">
        <v>128</v>
      </c>
      <c r="D210">
        <v>0.67700000000000005</v>
      </c>
      <c r="E210" s="3">
        <v>3.5000000000000003E-2</v>
      </c>
      <c r="F210">
        <v>0.27500000000000002</v>
      </c>
      <c r="G210">
        <v>0.73499999999999999</v>
      </c>
      <c r="H210" s="3">
        <v>0.90200000000000002</v>
      </c>
      <c r="I210" s="3">
        <f t="shared" si="3"/>
        <v>9.7999999999999976E-2</v>
      </c>
      <c r="J210">
        <v>48</v>
      </c>
      <c r="K210">
        <v>18</v>
      </c>
      <c r="L210">
        <v>11.3</v>
      </c>
    </row>
    <row r="211" spans="1:12" x14ac:dyDescent="0.2">
      <c r="A211">
        <v>33</v>
      </c>
      <c r="B211">
        <v>1494</v>
      </c>
      <c r="C211">
        <v>141</v>
      </c>
      <c r="D211">
        <v>0.67900000000000005</v>
      </c>
      <c r="E211" s="3">
        <v>8.3000000000000004E-2</v>
      </c>
      <c r="F211">
        <v>0.216</v>
      </c>
      <c r="G211">
        <v>0.89600000000000002</v>
      </c>
      <c r="H211" s="3">
        <v>0.91500000000000004</v>
      </c>
      <c r="I211" s="3">
        <f t="shared" si="3"/>
        <v>8.4999999999999964E-2</v>
      </c>
      <c r="J211">
        <v>10</v>
      </c>
      <c r="K211">
        <v>13</v>
      </c>
      <c r="L211">
        <v>13.5</v>
      </c>
    </row>
    <row r="212" spans="1:12" x14ac:dyDescent="0.2">
      <c r="A212">
        <v>75</v>
      </c>
      <c r="B212">
        <v>3587</v>
      </c>
      <c r="C212">
        <v>147</v>
      </c>
      <c r="D212">
        <v>0.67900000000000005</v>
      </c>
      <c r="E212" s="3">
        <v>0.109</v>
      </c>
      <c r="F212">
        <v>0.28399999999999997</v>
      </c>
      <c r="G212">
        <v>0.84099999999999997</v>
      </c>
      <c r="H212" s="3">
        <v>0.91400000000000003</v>
      </c>
      <c r="I212" s="3">
        <f t="shared" si="3"/>
        <v>8.5999999999999965E-2</v>
      </c>
      <c r="J212">
        <v>58</v>
      </c>
      <c r="K212">
        <v>19</v>
      </c>
      <c r="L212">
        <v>3.3</v>
      </c>
    </row>
    <row r="213" spans="1:12" x14ac:dyDescent="0.2">
      <c r="A213">
        <v>40</v>
      </c>
      <c r="B213">
        <v>1761</v>
      </c>
      <c r="C213">
        <v>24</v>
      </c>
      <c r="D213">
        <v>0.68</v>
      </c>
      <c r="E213" s="3">
        <v>4.2000000000000003E-2</v>
      </c>
      <c r="F213">
        <v>8.2000000000000003E-2</v>
      </c>
      <c r="G213">
        <v>0.82099999999999995</v>
      </c>
      <c r="H213" s="3">
        <v>0.97499999999999998</v>
      </c>
      <c r="I213" s="3">
        <f t="shared" si="3"/>
        <v>2.5000000000000022E-2</v>
      </c>
      <c r="J213">
        <v>93</v>
      </c>
      <c r="K213">
        <v>9</v>
      </c>
      <c r="L213">
        <v>9.6</v>
      </c>
    </row>
    <row r="214" spans="1:12" x14ac:dyDescent="0.2">
      <c r="A214">
        <v>55</v>
      </c>
      <c r="B214">
        <v>2603</v>
      </c>
      <c r="C214">
        <v>186</v>
      </c>
      <c r="D214">
        <v>0.68100000000000005</v>
      </c>
      <c r="E214" s="3">
        <v>2.1999999999999999E-2</v>
      </c>
      <c r="F214">
        <v>0.21199999999999999</v>
      </c>
      <c r="G214">
        <v>0.95299999999999996</v>
      </c>
      <c r="H214" s="3">
        <v>0.94399999999999995</v>
      </c>
      <c r="I214" s="3">
        <f t="shared" si="3"/>
        <v>5.600000000000005E-2</v>
      </c>
      <c r="J214">
        <v>73</v>
      </c>
      <c r="K214">
        <v>6</v>
      </c>
      <c r="L214">
        <v>9.5</v>
      </c>
    </row>
    <row r="215" spans="1:12" x14ac:dyDescent="0.2">
      <c r="A215">
        <v>63</v>
      </c>
      <c r="B215">
        <v>2946</v>
      </c>
      <c r="C215">
        <v>105</v>
      </c>
      <c r="D215">
        <v>0.68100000000000005</v>
      </c>
      <c r="E215" s="3">
        <v>4.3999999999999997E-2</v>
      </c>
      <c r="F215">
        <v>0.24099999999999999</v>
      </c>
      <c r="G215">
        <v>0.74099999999999999</v>
      </c>
      <c r="H215" s="3">
        <v>0.98599999999999999</v>
      </c>
      <c r="I215" s="3">
        <f t="shared" si="3"/>
        <v>1.4000000000000012E-2</v>
      </c>
      <c r="J215">
        <v>22</v>
      </c>
      <c r="K215">
        <v>19</v>
      </c>
      <c r="L215">
        <v>3.5</v>
      </c>
    </row>
    <row r="216" spans="1:12" x14ac:dyDescent="0.2">
      <c r="A216">
        <v>93</v>
      </c>
      <c r="B216">
        <v>4560</v>
      </c>
      <c r="C216">
        <v>150</v>
      </c>
      <c r="D216">
        <v>0.68100000000000005</v>
      </c>
      <c r="E216" s="3">
        <v>0.16400000000000001</v>
      </c>
      <c r="F216">
        <v>6.2E-2</v>
      </c>
      <c r="G216">
        <v>0.83</v>
      </c>
      <c r="H216" s="3">
        <v>0.90200000000000002</v>
      </c>
      <c r="I216" s="3">
        <f t="shared" si="3"/>
        <v>9.7999999999999976E-2</v>
      </c>
      <c r="J216">
        <v>60</v>
      </c>
      <c r="K216">
        <v>16</v>
      </c>
      <c r="L216">
        <v>9.6</v>
      </c>
    </row>
    <row r="217" spans="1:12" x14ac:dyDescent="0.2">
      <c r="A217">
        <v>39</v>
      </c>
      <c r="B217">
        <v>1891</v>
      </c>
      <c r="C217">
        <v>135</v>
      </c>
      <c r="D217">
        <v>0.68200000000000005</v>
      </c>
      <c r="E217" s="3">
        <v>0.185</v>
      </c>
      <c r="F217">
        <v>0.13300000000000001</v>
      </c>
      <c r="G217">
        <v>0.85099999999999998</v>
      </c>
      <c r="H217" s="3">
        <v>0.92500000000000004</v>
      </c>
      <c r="I217" s="3">
        <f t="shared" si="3"/>
        <v>7.4999999999999956E-2</v>
      </c>
      <c r="J217">
        <v>56</v>
      </c>
      <c r="K217">
        <v>14</v>
      </c>
      <c r="L217">
        <v>8.1999999999999993</v>
      </c>
    </row>
    <row r="218" spans="1:12" x14ac:dyDescent="0.2">
      <c r="A218">
        <v>47</v>
      </c>
      <c r="B218">
        <v>2132</v>
      </c>
      <c r="C218">
        <v>67</v>
      </c>
      <c r="D218">
        <v>0.68200000000000005</v>
      </c>
      <c r="E218" s="3">
        <v>0.14199999999999999</v>
      </c>
      <c r="F218">
        <v>9.9000000000000005E-2</v>
      </c>
      <c r="G218">
        <v>0.81699999999999995</v>
      </c>
      <c r="H218" s="3">
        <v>0.97099999999999997</v>
      </c>
      <c r="I218" s="3">
        <f t="shared" si="3"/>
        <v>2.9000000000000026E-2</v>
      </c>
      <c r="J218">
        <v>81</v>
      </c>
      <c r="K218">
        <v>17</v>
      </c>
      <c r="L218">
        <v>13.1</v>
      </c>
    </row>
    <row r="219" spans="1:12" x14ac:dyDescent="0.2">
      <c r="A219">
        <v>61</v>
      </c>
      <c r="B219">
        <v>2932</v>
      </c>
      <c r="C219">
        <v>47</v>
      </c>
      <c r="D219">
        <v>0.68200000000000005</v>
      </c>
      <c r="E219" s="3">
        <v>0.19700000000000001</v>
      </c>
      <c r="F219">
        <v>0.11799999999999999</v>
      </c>
      <c r="G219">
        <v>0.90700000000000003</v>
      </c>
      <c r="H219" s="3">
        <v>0.91700000000000004</v>
      </c>
      <c r="I219" s="3">
        <f t="shared" si="3"/>
        <v>8.2999999999999963E-2</v>
      </c>
      <c r="J219">
        <v>12</v>
      </c>
      <c r="K219">
        <v>6</v>
      </c>
      <c r="L219">
        <v>7.8</v>
      </c>
    </row>
    <row r="220" spans="1:12" x14ac:dyDescent="0.2">
      <c r="A220">
        <v>63</v>
      </c>
      <c r="B220">
        <v>2946</v>
      </c>
      <c r="C220">
        <v>61</v>
      </c>
      <c r="D220">
        <v>0.68200000000000005</v>
      </c>
      <c r="E220" s="3">
        <v>0.11899999999999999</v>
      </c>
      <c r="F220">
        <v>0.186</v>
      </c>
      <c r="G220">
        <v>0.77</v>
      </c>
      <c r="H220" s="3">
        <v>0.92300000000000004</v>
      </c>
      <c r="I220" s="3">
        <f t="shared" si="3"/>
        <v>7.6999999999999957E-2</v>
      </c>
      <c r="J220">
        <v>42</v>
      </c>
      <c r="K220">
        <v>19</v>
      </c>
      <c r="L220">
        <v>8</v>
      </c>
    </row>
    <row r="221" spans="1:12" x14ac:dyDescent="0.2">
      <c r="A221">
        <v>76</v>
      </c>
      <c r="B221">
        <v>3694</v>
      </c>
      <c r="C221">
        <v>132</v>
      </c>
      <c r="D221">
        <v>0.68200000000000005</v>
      </c>
      <c r="E221" s="3">
        <v>0.113</v>
      </c>
      <c r="F221">
        <v>9.2999999999999999E-2</v>
      </c>
      <c r="G221">
        <v>0.76200000000000001</v>
      </c>
      <c r="H221" s="3">
        <v>0.94499999999999995</v>
      </c>
      <c r="I221" s="3">
        <f t="shared" si="3"/>
        <v>5.5000000000000049E-2</v>
      </c>
      <c r="J221">
        <v>43</v>
      </c>
      <c r="K221">
        <v>10</v>
      </c>
      <c r="L221">
        <v>6.4</v>
      </c>
    </row>
    <row r="222" spans="1:12" x14ac:dyDescent="0.2">
      <c r="A222">
        <v>33</v>
      </c>
      <c r="B222">
        <v>1398</v>
      </c>
      <c r="C222">
        <v>156</v>
      </c>
      <c r="D222">
        <v>0.68300000000000005</v>
      </c>
      <c r="E222" s="3">
        <v>0.02</v>
      </c>
      <c r="F222">
        <v>0.223</v>
      </c>
      <c r="G222">
        <v>0.98799999999999999</v>
      </c>
      <c r="H222" s="3">
        <v>0.95899999999999996</v>
      </c>
      <c r="I222" s="3">
        <f t="shared" si="3"/>
        <v>4.1000000000000036E-2</v>
      </c>
      <c r="J222">
        <v>22</v>
      </c>
      <c r="K222">
        <v>14</v>
      </c>
      <c r="L222">
        <v>5.2</v>
      </c>
    </row>
    <row r="223" spans="1:12" x14ac:dyDescent="0.2">
      <c r="A223">
        <v>37</v>
      </c>
      <c r="B223">
        <v>1580</v>
      </c>
      <c r="C223">
        <v>121</v>
      </c>
      <c r="D223">
        <v>0.68300000000000005</v>
      </c>
      <c r="E223" s="3">
        <v>0.17499999999999999</v>
      </c>
      <c r="F223">
        <v>0.29199999999999998</v>
      </c>
      <c r="G223">
        <v>0.871</v>
      </c>
      <c r="H223" s="3">
        <v>0.98</v>
      </c>
      <c r="I223" s="3">
        <f t="shared" si="3"/>
        <v>2.0000000000000018E-2</v>
      </c>
      <c r="J223">
        <v>3</v>
      </c>
      <c r="K223">
        <v>14</v>
      </c>
      <c r="L223">
        <v>13.2</v>
      </c>
    </row>
    <row r="224" spans="1:12" x14ac:dyDescent="0.2">
      <c r="A224">
        <v>67</v>
      </c>
      <c r="B224">
        <v>3321</v>
      </c>
      <c r="C224">
        <v>108</v>
      </c>
      <c r="D224">
        <v>0.68400000000000005</v>
      </c>
      <c r="E224" s="3">
        <v>1.0999999999999999E-2</v>
      </c>
      <c r="F224">
        <v>0.122</v>
      </c>
      <c r="G224">
        <v>0.85499999999999998</v>
      </c>
      <c r="H224" s="3">
        <v>0.97799999999999998</v>
      </c>
      <c r="I224" s="3">
        <f t="shared" si="3"/>
        <v>2.200000000000002E-2</v>
      </c>
      <c r="J224">
        <v>29</v>
      </c>
      <c r="K224">
        <v>15</v>
      </c>
      <c r="L224">
        <v>2.2000000000000002</v>
      </c>
    </row>
    <row r="225" spans="1:12" x14ac:dyDescent="0.2">
      <c r="A225">
        <v>77</v>
      </c>
      <c r="B225">
        <v>3767</v>
      </c>
      <c r="C225">
        <v>157</v>
      </c>
      <c r="D225">
        <v>0.68400000000000005</v>
      </c>
      <c r="E225" s="3">
        <v>0.03</v>
      </c>
      <c r="F225">
        <v>0.11600000000000001</v>
      </c>
      <c r="G225">
        <v>0.94</v>
      </c>
      <c r="H225" s="3">
        <v>0.95399999999999996</v>
      </c>
      <c r="I225" s="3">
        <f t="shared" si="3"/>
        <v>4.6000000000000041E-2</v>
      </c>
      <c r="J225">
        <v>44</v>
      </c>
      <c r="K225">
        <v>2</v>
      </c>
      <c r="L225">
        <v>11.8</v>
      </c>
    </row>
    <row r="226" spans="1:12" x14ac:dyDescent="0.2">
      <c r="A226">
        <v>25</v>
      </c>
      <c r="B226">
        <v>1161</v>
      </c>
      <c r="C226">
        <v>73</v>
      </c>
      <c r="D226">
        <v>0.68500000000000005</v>
      </c>
      <c r="E226" s="3">
        <v>4.7E-2</v>
      </c>
      <c r="F226">
        <v>0.111</v>
      </c>
      <c r="G226">
        <v>0.88800000000000001</v>
      </c>
      <c r="H226" s="3">
        <v>0.96799999999999997</v>
      </c>
      <c r="I226" s="3">
        <f t="shared" si="3"/>
        <v>3.2000000000000028E-2</v>
      </c>
      <c r="J226">
        <v>41</v>
      </c>
      <c r="K226">
        <v>4</v>
      </c>
      <c r="L226">
        <v>11.5</v>
      </c>
    </row>
    <row r="227" spans="1:12" x14ac:dyDescent="0.2">
      <c r="A227">
        <v>63</v>
      </c>
      <c r="B227">
        <v>3043</v>
      </c>
      <c r="C227">
        <v>136</v>
      </c>
      <c r="D227">
        <v>0.68500000000000005</v>
      </c>
      <c r="E227" s="3">
        <v>3.7999999999999999E-2</v>
      </c>
      <c r="F227">
        <v>0.255</v>
      </c>
      <c r="G227">
        <v>0.84099999999999997</v>
      </c>
      <c r="H227" s="3">
        <v>0.91600000000000004</v>
      </c>
      <c r="I227" s="3">
        <f t="shared" si="3"/>
        <v>8.3999999999999964E-2</v>
      </c>
      <c r="J227">
        <v>87</v>
      </c>
      <c r="K227">
        <v>18</v>
      </c>
      <c r="L227">
        <v>8.1</v>
      </c>
    </row>
    <row r="228" spans="1:12" x14ac:dyDescent="0.2">
      <c r="A228">
        <v>65</v>
      </c>
      <c r="B228">
        <v>3158</v>
      </c>
      <c r="C228">
        <v>182</v>
      </c>
      <c r="D228">
        <v>0.68500000000000005</v>
      </c>
      <c r="E228" s="3">
        <v>0.108</v>
      </c>
      <c r="F228">
        <v>0.23899999999999999</v>
      </c>
      <c r="G228">
        <v>0.83399999999999996</v>
      </c>
      <c r="H228" s="3">
        <v>0.96</v>
      </c>
      <c r="I228" s="3">
        <f t="shared" si="3"/>
        <v>4.0000000000000036E-2</v>
      </c>
      <c r="J228">
        <v>57</v>
      </c>
      <c r="K228">
        <v>12</v>
      </c>
      <c r="L228">
        <v>13.6</v>
      </c>
    </row>
    <row r="229" spans="1:12" x14ac:dyDescent="0.2">
      <c r="A229">
        <v>71</v>
      </c>
      <c r="B229">
        <v>3309</v>
      </c>
      <c r="C229">
        <v>171</v>
      </c>
      <c r="D229">
        <v>0.68500000000000005</v>
      </c>
      <c r="E229" s="3">
        <v>0.153</v>
      </c>
      <c r="F229">
        <v>0.06</v>
      </c>
      <c r="G229">
        <v>0.85199999999999998</v>
      </c>
      <c r="H229" s="3">
        <v>0.93200000000000005</v>
      </c>
      <c r="I229" s="3">
        <f t="shared" si="3"/>
        <v>6.7999999999999949E-2</v>
      </c>
      <c r="J229">
        <v>65</v>
      </c>
      <c r="K229">
        <v>4</v>
      </c>
      <c r="L229">
        <v>12.3</v>
      </c>
    </row>
    <row r="230" spans="1:12" x14ac:dyDescent="0.2">
      <c r="A230">
        <v>29</v>
      </c>
      <c r="B230">
        <v>1341</v>
      </c>
      <c r="C230">
        <v>22</v>
      </c>
      <c r="D230">
        <v>0.68600000000000005</v>
      </c>
      <c r="E230" s="3">
        <v>0.14799999999999999</v>
      </c>
      <c r="F230">
        <v>0.19</v>
      </c>
      <c r="G230">
        <v>0.71599999999999997</v>
      </c>
      <c r="H230" s="3">
        <v>0.98899999999999999</v>
      </c>
      <c r="I230" s="3">
        <f t="shared" si="3"/>
        <v>1.100000000000001E-2</v>
      </c>
      <c r="J230">
        <v>33</v>
      </c>
      <c r="K230">
        <v>16</v>
      </c>
      <c r="L230">
        <v>4.5999999999999996</v>
      </c>
    </row>
    <row r="231" spans="1:12" x14ac:dyDescent="0.2">
      <c r="A231">
        <v>36</v>
      </c>
      <c r="B231">
        <v>1618</v>
      </c>
      <c r="C231">
        <v>29</v>
      </c>
      <c r="D231">
        <v>0.68600000000000005</v>
      </c>
      <c r="E231" s="3">
        <v>4.2000000000000003E-2</v>
      </c>
      <c r="F231">
        <v>0.185</v>
      </c>
      <c r="G231">
        <v>0.98599999999999999</v>
      </c>
      <c r="H231" s="3">
        <v>0.92800000000000005</v>
      </c>
      <c r="I231" s="3">
        <f t="shared" si="3"/>
        <v>7.1999999999999953E-2</v>
      </c>
      <c r="J231">
        <v>99</v>
      </c>
      <c r="K231">
        <v>14</v>
      </c>
      <c r="L231">
        <v>1.9</v>
      </c>
    </row>
    <row r="232" spans="1:12" x14ac:dyDescent="0.2">
      <c r="A232">
        <v>38</v>
      </c>
      <c r="B232">
        <v>1785</v>
      </c>
      <c r="C232">
        <v>90</v>
      </c>
      <c r="D232">
        <v>0.68600000000000005</v>
      </c>
      <c r="E232" s="3">
        <v>0.155</v>
      </c>
      <c r="F232">
        <v>0.27800000000000002</v>
      </c>
      <c r="G232">
        <v>0.81799999999999995</v>
      </c>
      <c r="H232" s="3">
        <v>0.95599999999999996</v>
      </c>
      <c r="I232" s="3">
        <f t="shared" si="3"/>
        <v>4.4000000000000039E-2</v>
      </c>
      <c r="J232">
        <v>47</v>
      </c>
      <c r="K232">
        <v>16</v>
      </c>
      <c r="L232">
        <v>11.5</v>
      </c>
    </row>
    <row r="233" spans="1:12" x14ac:dyDescent="0.2">
      <c r="A233">
        <v>54</v>
      </c>
      <c r="B233">
        <v>2497</v>
      </c>
      <c r="C233">
        <v>56</v>
      </c>
      <c r="D233">
        <v>0.68600000000000005</v>
      </c>
      <c r="E233" s="3">
        <v>4.3999999999999997E-2</v>
      </c>
      <c r="F233">
        <v>0.29899999999999999</v>
      </c>
      <c r="G233">
        <v>0.83499999999999996</v>
      </c>
      <c r="H233" s="3">
        <v>0.98799999999999999</v>
      </c>
      <c r="I233" s="3">
        <f t="shared" si="3"/>
        <v>1.2000000000000011E-2</v>
      </c>
      <c r="J233">
        <v>64</v>
      </c>
      <c r="K233">
        <v>14</v>
      </c>
      <c r="L233">
        <v>13.2</v>
      </c>
    </row>
    <row r="234" spans="1:12" x14ac:dyDescent="0.2">
      <c r="A234">
        <v>54</v>
      </c>
      <c r="B234">
        <v>2572</v>
      </c>
      <c r="C234">
        <v>34</v>
      </c>
      <c r="D234">
        <v>0.68600000000000005</v>
      </c>
      <c r="E234" s="3">
        <v>0.106</v>
      </c>
      <c r="F234">
        <v>0.184</v>
      </c>
      <c r="G234">
        <v>0.81699999999999995</v>
      </c>
      <c r="H234" s="3">
        <v>0.90900000000000003</v>
      </c>
      <c r="I234" s="3">
        <f t="shared" si="3"/>
        <v>9.099999999999997E-2</v>
      </c>
      <c r="J234">
        <v>35</v>
      </c>
      <c r="K234">
        <v>19</v>
      </c>
      <c r="L234">
        <v>7.7</v>
      </c>
    </row>
    <row r="235" spans="1:12" x14ac:dyDescent="0.2">
      <c r="A235">
        <v>59</v>
      </c>
      <c r="B235">
        <v>2855</v>
      </c>
      <c r="C235">
        <v>197</v>
      </c>
      <c r="D235">
        <v>0.68700000000000006</v>
      </c>
      <c r="E235" s="3">
        <v>0.13600000000000001</v>
      </c>
      <c r="F235">
        <v>0.28999999999999998</v>
      </c>
      <c r="G235">
        <v>0.97099999999999997</v>
      </c>
      <c r="H235" s="3">
        <v>0.96799999999999997</v>
      </c>
      <c r="I235" s="3">
        <f t="shared" si="3"/>
        <v>3.2000000000000028E-2</v>
      </c>
      <c r="J235">
        <v>41</v>
      </c>
      <c r="K235">
        <v>1</v>
      </c>
      <c r="L235">
        <v>2.5</v>
      </c>
    </row>
    <row r="236" spans="1:12" x14ac:dyDescent="0.2">
      <c r="A236">
        <v>89</v>
      </c>
      <c r="B236">
        <v>4249</v>
      </c>
      <c r="C236">
        <v>94</v>
      </c>
      <c r="D236">
        <v>0.68700000000000006</v>
      </c>
      <c r="E236" s="3">
        <v>9.5000000000000001E-2</v>
      </c>
      <c r="F236">
        <v>0.29699999999999999</v>
      </c>
      <c r="G236">
        <v>0.73699999999999999</v>
      </c>
      <c r="H236" s="3">
        <v>0.93300000000000005</v>
      </c>
      <c r="I236" s="3">
        <f t="shared" si="3"/>
        <v>6.6999999999999948E-2</v>
      </c>
      <c r="J236">
        <v>40</v>
      </c>
      <c r="K236">
        <v>16</v>
      </c>
      <c r="L236">
        <v>11.9</v>
      </c>
    </row>
    <row r="237" spans="1:12" x14ac:dyDescent="0.2">
      <c r="A237">
        <v>26</v>
      </c>
      <c r="B237">
        <v>1056</v>
      </c>
      <c r="C237">
        <v>166</v>
      </c>
      <c r="D237">
        <v>0.68799999999999994</v>
      </c>
      <c r="E237" s="3">
        <v>1.2999999999999999E-2</v>
      </c>
      <c r="F237">
        <v>0.255</v>
      </c>
      <c r="G237">
        <v>0.70399999999999996</v>
      </c>
      <c r="H237" s="3">
        <v>0.91</v>
      </c>
      <c r="I237" s="3">
        <f t="shared" si="3"/>
        <v>8.9999999999999969E-2</v>
      </c>
      <c r="J237">
        <v>91</v>
      </c>
      <c r="K237">
        <v>4</v>
      </c>
      <c r="L237">
        <v>13.2</v>
      </c>
    </row>
    <row r="238" spans="1:12" x14ac:dyDescent="0.2">
      <c r="A238">
        <v>41</v>
      </c>
      <c r="B238">
        <v>1860</v>
      </c>
      <c r="C238">
        <v>137</v>
      </c>
      <c r="D238">
        <v>0.68799999999999994</v>
      </c>
      <c r="E238" s="3">
        <v>3.5000000000000003E-2</v>
      </c>
      <c r="F238">
        <v>0.23100000000000001</v>
      </c>
      <c r="G238">
        <v>0.73899999999999999</v>
      </c>
      <c r="H238" s="3">
        <v>0.96499999999999997</v>
      </c>
      <c r="I238" s="3">
        <f t="shared" si="3"/>
        <v>3.5000000000000031E-2</v>
      </c>
      <c r="J238">
        <v>48</v>
      </c>
      <c r="K238">
        <v>5</v>
      </c>
      <c r="L238">
        <v>12.5</v>
      </c>
    </row>
    <row r="239" spans="1:12" x14ac:dyDescent="0.2">
      <c r="A239">
        <v>48</v>
      </c>
      <c r="B239">
        <v>2180</v>
      </c>
      <c r="C239">
        <v>36</v>
      </c>
      <c r="D239">
        <v>0.68799999999999994</v>
      </c>
      <c r="E239" s="3">
        <v>0.16900000000000001</v>
      </c>
      <c r="F239">
        <v>6.0999999999999999E-2</v>
      </c>
      <c r="G239">
        <v>0.94199999999999995</v>
      </c>
      <c r="H239" s="3">
        <v>0.92200000000000004</v>
      </c>
      <c r="I239" s="3">
        <f t="shared" si="3"/>
        <v>7.7999999999999958E-2</v>
      </c>
      <c r="J239">
        <v>13</v>
      </c>
      <c r="K239">
        <v>4</v>
      </c>
      <c r="L239">
        <v>12.7</v>
      </c>
    </row>
    <row r="240" spans="1:12" x14ac:dyDescent="0.2">
      <c r="A240">
        <v>88</v>
      </c>
      <c r="B240">
        <v>4171</v>
      </c>
      <c r="C240">
        <v>171</v>
      </c>
      <c r="D240">
        <v>0.68799999999999994</v>
      </c>
      <c r="E240" s="3">
        <v>9.1999999999999998E-2</v>
      </c>
      <c r="F240">
        <v>0.13900000000000001</v>
      </c>
      <c r="G240">
        <v>0.91400000000000003</v>
      </c>
      <c r="H240" s="3">
        <v>0.94799999999999995</v>
      </c>
      <c r="I240" s="3">
        <f t="shared" si="3"/>
        <v>5.2000000000000046E-2</v>
      </c>
      <c r="J240">
        <v>78</v>
      </c>
      <c r="K240">
        <v>1</v>
      </c>
      <c r="L240">
        <v>11.7</v>
      </c>
    </row>
    <row r="241" spans="1:12" x14ac:dyDescent="0.2">
      <c r="A241">
        <v>89</v>
      </c>
      <c r="B241">
        <v>4212</v>
      </c>
      <c r="C241">
        <v>68</v>
      </c>
      <c r="D241">
        <v>0.68799999999999994</v>
      </c>
      <c r="E241" s="3">
        <v>0.108</v>
      </c>
      <c r="F241">
        <v>0.16400000000000001</v>
      </c>
      <c r="G241">
        <v>0.83899999999999997</v>
      </c>
      <c r="H241" s="3">
        <v>0.95099999999999996</v>
      </c>
      <c r="I241" s="3">
        <f t="shared" si="3"/>
        <v>4.9000000000000044E-2</v>
      </c>
      <c r="J241">
        <v>96</v>
      </c>
      <c r="K241">
        <v>18</v>
      </c>
      <c r="L241">
        <v>10</v>
      </c>
    </row>
    <row r="242" spans="1:12" x14ac:dyDescent="0.2">
      <c r="A242">
        <v>43</v>
      </c>
      <c r="B242">
        <v>1905</v>
      </c>
      <c r="C242">
        <v>179</v>
      </c>
      <c r="D242">
        <v>0.69</v>
      </c>
      <c r="E242" s="3">
        <v>0.17299999999999999</v>
      </c>
      <c r="F242">
        <v>7.1999999999999995E-2</v>
      </c>
      <c r="G242">
        <v>0.91700000000000004</v>
      </c>
      <c r="H242" s="3">
        <v>0.98899999999999999</v>
      </c>
      <c r="I242" s="3">
        <f t="shared" si="3"/>
        <v>1.100000000000001E-2</v>
      </c>
      <c r="J242">
        <v>14</v>
      </c>
      <c r="K242">
        <v>12</v>
      </c>
      <c r="L242">
        <v>6.2</v>
      </c>
    </row>
    <row r="243" spans="1:12" x14ac:dyDescent="0.2">
      <c r="A243">
        <v>49</v>
      </c>
      <c r="B243">
        <v>2178</v>
      </c>
      <c r="C243">
        <v>63</v>
      </c>
      <c r="D243">
        <v>0.69</v>
      </c>
      <c r="E243" s="3">
        <v>0.152</v>
      </c>
      <c r="F243">
        <v>0.13900000000000001</v>
      </c>
      <c r="G243">
        <v>0.73399999999999999</v>
      </c>
      <c r="H243" s="3">
        <v>0.92100000000000004</v>
      </c>
      <c r="I243" s="3">
        <f t="shared" si="3"/>
        <v>7.8999999999999959E-2</v>
      </c>
      <c r="J243">
        <v>45</v>
      </c>
      <c r="K243">
        <v>15</v>
      </c>
      <c r="L243">
        <v>4.0999999999999996</v>
      </c>
    </row>
    <row r="244" spans="1:12" x14ac:dyDescent="0.2">
      <c r="A244">
        <v>54</v>
      </c>
      <c r="B244">
        <v>2538</v>
      </c>
      <c r="C244">
        <v>24</v>
      </c>
      <c r="D244">
        <v>0.69</v>
      </c>
      <c r="E244" s="3">
        <v>0.187</v>
      </c>
      <c r="F244">
        <v>8.8999999999999996E-2</v>
      </c>
      <c r="G244">
        <v>0.84499999999999997</v>
      </c>
      <c r="H244" s="3">
        <v>0.94799999999999995</v>
      </c>
      <c r="I244" s="3">
        <f t="shared" si="3"/>
        <v>5.2000000000000046E-2</v>
      </c>
      <c r="J244">
        <v>62</v>
      </c>
      <c r="K244">
        <v>15</v>
      </c>
      <c r="L244">
        <v>8.1999999999999993</v>
      </c>
    </row>
    <row r="245" spans="1:12" x14ac:dyDescent="0.2">
      <c r="A245">
        <v>92</v>
      </c>
      <c r="B245">
        <v>4429</v>
      </c>
      <c r="C245">
        <v>122</v>
      </c>
      <c r="D245">
        <v>0.69</v>
      </c>
      <c r="E245" s="3">
        <v>0.16700000000000001</v>
      </c>
      <c r="F245">
        <v>0.17199999999999999</v>
      </c>
      <c r="G245">
        <v>0.77700000000000002</v>
      </c>
      <c r="H245" s="3">
        <v>0.90400000000000003</v>
      </c>
      <c r="I245" s="3">
        <f t="shared" si="3"/>
        <v>9.5999999999999974E-2</v>
      </c>
      <c r="J245">
        <v>59</v>
      </c>
      <c r="K245">
        <v>0</v>
      </c>
      <c r="L245">
        <v>4.4000000000000004</v>
      </c>
    </row>
    <row r="246" spans="1:12" x14ac:dyDescent="0.2">
      <c r="A246">
        <v>98</v>
      </c>
      <c r="B246">
        <v>4831</v>
      </c>
      <c r="C246">
        <v>13</v>
      </c>
      <c r="D246">
        <v>0.69</v>
      </c>
      <c r="E246" s="3">
        <v>9.6000000000000002E-2</v>
      </c>
      <c r="F246">
        <v>6.0999999999999999E-2</v>
      </c>
      <c r="G246">
        <v>0.93799999999999994</v>
      </c>
      <c r="H246" s="3">
        <v>0.98799999999999999</v>
      </c>
      <c r="I246" s="3">
        <f t="shared" si="3"/>
        <v>1.2000000000000011E-2</v>
      </c>
      <c r="J246">
        <v>24</v>
      </c>
      <c r="K246">
        <v>12</v>
      </c>
      <c r="L246">
        <v>3.4</v>
      </c>
    </row>
    <row r="247" spans="1:12" x14ac:dyDescent="0.2">
      <c r="A247">
        <v>46</v>
      </c>
      <c r="B247">
        <v>2035</v>
      </c>
      <c r="C247">
        <v>72</v>
      </c>
      <c r="D247">
        <v>0.69099999999999995</v>
      </c>
      <c r="E247" s="3">
        <v>0.17100000000000001</v>
      </c>
      <c r="F247">
        <v>0.25600000000000001</v>
      </c>
      <c r="G247">
        <v>0.70599999999999996</v>
      </c>
      <c r="H247" s="3">
        <v>0.92800000000000005</v>
      </c>
      <c r="I247" s="3">
        <f t="shared" si="3"/>
        <v>7.1999999999999953E-2</v>
      </c>
      <c r="J247">
        <v>7</v>
      </c>
      <c r="K247">
        <v>11</v>
      </c>
      <c r="L247">
        <v>11.4</v>
      </c>
    </row>
    <row r="248" spans="1:12" x14ac:dyDescent="0.2">
      <c r="A248">
        <v>60</v>
      </c>
      <c r="B248">
        <v>2878</v>
      </c>
      <c r="C248">
        <v>185</v>
      </c>
      <c r="D248">
        <v>0.69099999999999995</v>
      </c>
      <c r="E248" s="3">
        <v>0.03</v>
      </c>
      <c r="F248">
        <v>0.29099999999999998</v>
      </c>
      <c r="G248">
        <v>0.92200000000000004</v>
      </c>
      <c r="H248" s="3">
        <v>0.91400000000000003</v>
      </c>
      <c r="I248" s="3">
        <f t="shared" si="3"/>
        <v>8.5999999999999965E-2</v>
      </c>
      <c r="J248">
        <v>29</v>
      </c>
      <c r="K248">
        <v>12</v>
      </c>
      <c r="L248">
        <v>2</v>
      </c>
    </row>
    <row r="249" spans="1:12" x14ac:dyDescent="0.2">
      <c r="A249">
        <v>72</v>
      </c>
      <c r="B249">
        <v>3518</v>
      </c>
      <c r="C249">
        <v>73</v>
      </c>
      <c r="D249">
        <v>0.69099999999999995</v>
      </c>
      <c r="E249" s="3">
        <v>0.154</v>
      </c>
      <c r="F249">
        <v>0.13800000000000001</v>
      </c>
      <c r="G249">
        <v>0.84799999999999998</v>
      </c>
      <c r="H249" s="3">
        <v>0.95499999999999996</v>
      </c>
      <c r="I249" s="3">
        <f t="shared" si="3"/>
        <v>4.500000000000004E-2</v>
      </c>
      <c r="J249">
        <v>16</v>
      </c>
      <c r="K249">
        <v>10</v>
      </c>
      <c r="L249">
        <v>8.9</v>
      </c>
    </row>
    <row r="250" spans="1:12" x14ac:dyDescent="0.2">
      <c r="A250">
        <v>72</v>
      </c>
      <c r="B250">
        <v>3567</v>
      </c>
      <c r="C250">
        <v>104</v>
      </c>
      <c r="D250">
        <v>0.69099999999999995</v>
      </c>
      <c r="E250" s="3">
        <v>0.109</v>
      </c>
      <c r="F250">
        <v>0.19800000000000001</v>
      </c>
      <c r="G250">
        <v>0.93300000000000005</v>
      </c>
      <c r="H250" s="3">
        <v>0.95899999999999996</v>
      </c>
      <c r="I250" s="3">
        <f t="shared" si="3"/>
        <v>4.1000000000000036E-2</v>
      </c>
      <c r="J250">
        <v>10</v>
      </c>
      <c r="K250">
        <v>19</v>
      </c>
      <c r="L250">
        <v>8.6999999999999993</v>
      </c>
    </row>
    <row r="251" spans="1:12" x14ac:dyDescent="0.2">
      <c r="A251">
        <v>100</v>
      </c>
      <c r="B251">
        <v>4906</v>
      </c>
      <c r="C251">
        <v>46</v>
      </c>
      <c r="D251">
        <v>0.69199999999999995</v>
      </c>
      <c r="E251" s="3">
        <v>0.19700000000000001</v>
      </c>
      <c r="F251">
        <v>0.28699999999999998</v>
      </c>
      <c r="G251">
        <v>0.72899999999999998</v>
      </c>
      <c r="H251" s="3">
        <v>0.91200000000000003</v>
      </c>
      <c r="I251" s="3">
        <f t="shared" si="3"/>
        <v>8.7999999999999967E-2</v>
      </c>
      <c r="J251">
        <v>20</v>
      </c>
      <c r="K251">
        <v>8</v>
      </c>
      <c r="L251">
        <v>9.1999999999999993</v>
      </c>
    </row>
    <row r="252" spans="1:12" x14ac:dyDescent="0.2">
      <c r="A252">
        <v>99</v>
      </c>
      <c r="B252">
        <v>4921</v>
      </c>
      <c r="C252">
        <v>143</v>
      </c>
      <c r="D252">
        <v>0.69199999999999995</v>
      </c>
      <c r="E252" s="3">
        <v>6.7000000000000004E-2</v>
      </c>
      <c r="F252">
        <v>0.10299999999999999</v>
      </c>
      <c r="G252">
        <v>0.79</v>
      </c>
      <c r="H252" s="3">
        <v>0.94799999999999995</v>
      </c>
      <c r="I252" s="3">
        <f t="shared" si="3"/>
        <v>5.2000000000000046E-2</v>
      </c>
      <c r="J252">
        <v>58</v>
      </c>
      <c r="K252">
        <v>4</v>
      </c>
      <c r="L252">
        <v>10.5</v>
      </c>
    </row>
    <row r="253" spans="1:12" x14ac:dyDescent="0.2">
      <c r="A253">
        <v>51</v>
      </c>
      <c r="B253">
        <v>2303</v>
      </c>
      <c r="C253">
        <v>171</v>
      </c>
      <c r="D253">
        <v>0.69299999999999995</v>
      </c>
      <c r="E253" s="3">
        <v>7.9000000000000001E-2</v>
      </c>
      <c r="F253">
        <v>0.26300000000000001</v>
      </c>
      <c r="G253">
        <v>0.8</v>
      </c>
      <c r="H253" s="3">
        <v>0.97599999999999998</v>
      </c>
      <c r="I253" s="3">
        <f t="shared" si="3"/>
        <v>2.4000000000000021E-2</v>
      </c>
      <c r="J253">
        <v>13</v>
      </c>
      <c r="K253">
        <v>11</v>
      </c>
      <c r="L253">
        <v>2.4</v>
      </c>
    </row>
    <row r="254" spans="1:12" x14ac:dyDescent="0.2">
      <c r="A254">
        <v>55</v>
      </c>
      <c r="B254">
        <v>2534</v>
      </c>
      <c r="C254">
        <v>157</v>
      </c>
      <c r="D254">
        <v>0.69299999999999995</v>
      </c>
      <c r="E254" s="3">
        <v>0.16600000000000001</v>
      </c>
      <c r="F254">
        <v>7.0000000000000007E-2</v>
      </c>
      <c r="G254">
        <v>0.74299999999999999</v>
      </c>
      <c r="H254" s="3">
        <v>0.92800000000000005</v>
      </c>
      <c r="I254" s="3">
        <f t="shared" si="3"/>
        <v>7.1999999999999953E-2</v>
      </c>
      <c r="J254">
        <v>19</v>
      </c>
      <c r="K254">
        <v>10</v>
      </c>
      <c r="L254">
        <v>6.6</v>
      </c>
    </row>
    <row r="255" spans="1:12" x14ac:dyDescent="0.2">
      <c r="A255">
        <v>69</v>
      </c>
      <c r="B255">
        <v>3352</v>
      </c>
      <c r="C255">
        <v>79</v>
      </c>
      <c r="D255">
        <v>0.69299999999999995</v>
      </c>
      <c r="E255" s="3">
        <v>0.19</v>
      </c>
      <c r="F255">
        <v>0.193</v>
      </c>
      <c r="G255">
        <v>0.91900000000000004</v>
      </c>
      <c r="H255" s="3">
        <v>0.94499999999999995</v>
      </c>
      <c r="I255" s="3">
        <f t="shared" si="3"/>
        <v>5.5000000000000049E-2</v>
      </c>
      <c r="J255">
        <v>92</v>
      </c>
      <c r="K255">
        <v>14</v>
      </c>
      <c r="L255">
        <v>11</v>
      </c>
    </row>
    <row r="256" spans="1:12" x14ac:dyDescent="0.2">
      <c r="A256">
        <v>21</v>
      </c>
      <c r="B256">
        <v>1022</v>
      </c>
      <c r="C256">
        <v>85</v>
      </c>
      <c r="D256">
        <v>0.69399999999999995</v>
      </c>
      <c r="E256" s="3">
        <v>9.2999999999999999E-2</v>
      </c>
      <c r="F256">
        <v>0.26300000000000001</v>
      </c>
      <c r="G256">
        <v>0.93700000000000006</v>
      </c>
      <c r="H256" s="3">
        <v>0.98299999999999998</v>
      </c>
      <c r="I256" s="3">
        <f t="shared" si="3"/>
        <v>1.7000000000000015E-2</v>
      </c>
      <c r="J256">
        <v>63</v>
      </c>
      <c r="K256">
        <v>3</v>
      </c>
      <c r="L256">
        <v>6</v>
      </c>
    </row>
    <row r="257" spans="1:12" x14ac:dyDescent="0.2">
      <c r="A257">
        <v>30</v>
      </c>
      <c r="B257">
        <v>1273</v>
      </c>
      <c r="C257">
        <v>38</v>
      </c>
      <c r="D257">
        <v>0.69399999999999995</v>
      </c>
      <c r="E257" s="3">
        <v>0.17</v>
      </c>
      <c r="F257">
        <v>0.182</v>
      </c>
      <c r="G257">
        <v>0.73699999999999999</v>
      </c>
      <c r="H257" s="3">
        <v>0.94099999999999995</v>
      </c>
      <c r="I257" s="3">
        <f t="shared" si="3"/>
        <v>5.9000000000000052E-2</v>
      </c>
      <c r="J257">
        <v>43</v>
      </c>
      <c r="K257">
        <v>19</v>
      </c>
      <c r="L257">
        <v>10.7</v>
      </c>
    </row>
    <row r="258" spans="1:12" x14ac:dyDescent="0.2">
      <c r="A258">
        <v>54</v>
      </c>
      <c r="B258">
        <v>2444</v>
      </c>
      <c r="C258">
        <v>49</v>
      </c>
      <c r="D258">
        <v>0.69399999999999995</v>
      </c>
      <c r="E258" s="3">
        <v>0.05</v>
      </c>
      <c r="F258">
        <v>0.152</v>
      </c>
      <c r="G258">
        <v>0.94899999999999995</v>
      </c>
      <c r="H258" s="3">
        <v>0.90500000000000003</v>
      </c>
      <c r="I258" s="3">
        <f t="shared" si="3"/>
        <v>9.4999999999999973E-2</v>
      </c>
      <c r="J258">
        <v>73</v>
      </c>
      <c r="K258">
        <v>18</v>
      </c>
      <c r="L258">
        <v>3</v>
      </c>
    </row>
    <row r="259" spans="1:12" x14ac:dyDescent="0.2">
      <c r="A259">
        <v>38</v>
      </c>
      <c r="B259">
        <v>1863</v>
      </c>
      <c r="C259">
        <v>28</v>
      </c>
      <c r="D259">
        <v>0.69599999999999995</v>
      </c>
      <c r="E259" s="3">
        <v>9.1999999999999998E-2</v>
      </c>
      <c r="F259">
        <v>0.219</v>
      </c>
      <c r="G259">
        <v>0.747</v>
      </c>
      <c r="H259" s="3">
        <v>0.90900000000000003</v>
      </c>
      <c r="I259" s="3">
        <f t="shared" ref="I259:I322" si="4">1-H259</f>
        <v>9.099999999999997E-2</v>
      </c>
      <c r="J259">
        <v>77</v>
      </c>
      <c r="K259">
        <v>0</v>
      </c>
      <c r="L259">
        <v>10.5</v>
      </c>
    </row>
    <row r="260" spans="1:12" x14ac:dyDescent="0.2">
      <c r="A260">
        <v>82</v>
      </c>
      <c r="B260">
        <v>3837</v>
      </c>
      <c r="C260">
        <v>184</v>
      </c>
      <c r="D260">
        <v>0.69599999999999995</v>
      </c>
      <c r="E260" s="3">
        <v>0.192</v>
      </c>
      <c r="F260">
        <v>0.10100000000000001</v>
      </c>
      <c r="G260">
        <v>0.86599999999999999</v>
      </c>
      <c r="H260" s="3">
        <v>0.95799999999999996</v>
      </c>
      <c r="I260" s="3">
        <f t="shared" si="4"/>
        <v>4.2000000000000037E-2</v>
      </c>
      <c r="J260">
        <v>27</v>
      </c>
      <c r="K260">
        <v>0</v>
      </c>
      <c r="L260">
        <v>14.1</v>
      </c>
    </row>
    <row r="261" spans="1:12" x14ac:dyDescent="0.2">
      <c r="A261">
        <v>84</v>
      </c>
      <c r="B261">
        <v>4075</v>
      </c>
      <c r="C261">
        <v>20</v>
      </c>
      <c r="D261">
        <v>0.69599999999999995</v>
      </c>
      <c r="E261" s="3">
        <v>0.14099999999999999</v>
      </c>
      <c r="F261">
        <v>0.28199999999999997</v>
      </c>
      <c r="G261">
        <v>0.76500000000000001</v>
      </c>
      <c r="H261" s="3">
        <v>0.95499999999999996</v>
      </c>
      <c r="I261" s="3">
        <f t="shared" si="4"/>
        <v>4.500000000000004E-2</v>
      </c>
      <c r="J261">
        <v>67</v>
      </c>
      <c r="K261">
        <v>15</v>
      </c>
      <c r="L261">
        <v>7.4</v>
      </c>
    </row>
    <row r="262" spans="1:12" x14ac:dyDescent="0.2">
      <c r="A262">
        <v>69</v>
      </c>
      <c r="B262">
        <v>3416</v>
      </c>
      <c r="C262">
        <v>113</v>
      </c>
      <c r="D262">
        <v>0.69699999999999995</v>
      </c>
      <c r="E262" s="3">
        <v>0.19</v>
      </c>
      <c r="F262">
        <v>6.2E-2</v>
      </c>
      <c r="G262">
        <v>0.93700000000000006</v>
      </c>
      <c r="H262" s="3">
        <v>0.95099999999999996</v>
      </c>
      <c r="I262" s="3">
        <f t="shared" si="4"/>
        <v>4.9000000000000044E-2</v>
      </c>
      <c r="J262">
        <v>53</v>
      </c>
      <c r="K262">
        <v>15</v>
      </c>
      <c r="L262">
        <v>14.1</v>
      </c>
    </row>
    <row r="263" spans="1:12" x14ac:dyDescent="0.2">
      <c r="A263">
        <v>37</v>
      </c>
      <c r="B263">
        <v>1630</v>
      </c>
      <c r="C263">
        <v>179</v>
      </c>
      <c r="D263">
        <v>0.69799999999999995</v>
      </c>
      <c r="E263" s="3">
        <v>2.1000000000000001E-2</v>
      </c>
      <c r="F263">
        <v>8.7999999999999995E-2</v>
      </c>
      <c r="G263">
        <v>0.96499999999999997</v>
      </c>
      <c r="H263" s="3">
        <v>0.97299999999999998</v>
      </c>
      <c r="I263" s="3">
        <f t="shared" si="4"/>
        <v>2.7000000000000024E-2</v>
      </c>
      <c r="J263">
        <v>40</v>
      </c>
      <c r="K263">
        <v>17</v>
      </c>
      <c r="L263">
        <v>2.9</v>
      </c>
    </row>
    <row r="264" spans="1:12" x14ac:dyDescent="0.2">
      <c r="A264">
        <v>97</v>
      </c>
      <c r="B264">
        <v>4764</v>
      </c>
      <c r="C264">
        <v>122</v>
      </c>
      <c r="D264">
        <v>0.69799999999999995</v>
      </c>
      <c r="E264" s="3">
        <v>0.16200000000000001</v>
      </c>
      <c r="F264">
        <v>9.1999999999999998E-2</v>
      </c>
      <c r="G264">
        <v>0.89400000000000002</v>
      </c>
      <c r="H264" s="3">
        <v>0.92100000000000004</v>
      </c>
      <c r="I264" s="3">
        <f t="shared" si="4"/>
        <v>7.8999999999999959E-2</v>
      </c>
      <c r="J264">
        <v>70</v>
      </c>
      <c r="K264">
        <v>11</v>
      </c>
      <c r="L264">
        <v>14.4</v>
      </c>
    </row>
    <row r="265" spans="1:12" x14ac:dyDescent="0.2">
      <c r="A265">
        <v>103</v>
      </c>
      <c r="B265">
        <v>4878</v>
      </c>
      <c r="C265">
        <v>47</v>
      </c>
      <c r="D265">
        <v>0.69799999999999995</v>
      </c>
      <c r="E265" s="3">
        <v>6.8000000000000005E-2</v>
      </c>
      <c r="F265">
        <v>0.14399999999999999</v>
      </c>
      <c r="G265">
        <v>0.88700000000000001</v>
      </c>
      <c r="H265" s="3">
        <v>0.98</v>
      </c>
      <c r="I265" s="3">
        <f t="shared" si="4"/>
        <v>2.0000000000000018E-2</v>
      </c>
      <c r="J265">
        <v>35</v>
      </c>
      <c r="K265">
        <v>4</v>
      </c>
      <c r="L265">
        <v>7.8</v>
      </c>
    </row>
    <row r="266" spans="1:12" x14ac:dyDescent="0.2">
      <c r="A266">
        <v>46</v>
      </c>
      <c r="B266">
        <v>2036</v>
      </c>
      <c r="C266">
        <v>161</v>
      </c>
      <c r="D266">
        <v>0.69899999999999995</v>
      </c>
      <c r="E266" s="3">
        <v>7.1999999999999995E-2</v>
      </c>
      <c r="F266">
        <v>0.193</v>
      </c>
      <c r="G266">
        <v>0.92600000000000005</v>
      </c>
      <c r="H266" s="3">
        <v>0.91700000000000004</v>
      </c>
      <c r="I266" s="3">
        <f t="shared" si="4"/>
        <v>8.2999999999999963E-2</v>
      </c>
      <c r="J266">
        <v>9</v>
      </c>
      <c r="K266">
        <v>15</v>
      </c>
      <c r="L266">
        <v>4.8</v>
      </c>
    </row>
    <row r="267" spans="1:12" x14ac:dyDescent="0.2">
      <c r="A267">
        <v>91</v>
      </c>
      <c r="B267">
        <v>4374</v>
      </c>
      <c r="C267">
        <v>92</v>
      </c>
      <c r="D267">
        <v>0.69899999999999995</v>
      </c>
      <c r="E267" s="3">
        <v>0.156</v>
      </c>
      <c r="F267">
        <v>6.8000000000000005E-2</v>
      </c>
      <c r="G267">
        <v>0.83799999999999997</v>
      </c>
      <c r="H267" s="3">
        <v>0.92300000000000004</v>
      </c>
      <c r="I267" s="3">
        <f t="shared" si="4"/>
        <v>7.6999999999999957E-2</v>
      </c>
      <c r="J267">
        <v>74</v>
      </c>
      <c r="K267">
        <v>1</v>
      </c>
      <c r="L267">
        <v>10.5</v>
      </c>
    </row>
    <row r="268" spans="1:12" x14ac:dyDescent="0.2">
      <c r="A268">
        <v>96</v>
      </c>
      <c r="B268">
        <v>4675</v>
      </c>
      <c r="C268">
        <v>91</v>
      </c>
      <c r="D268">
        <v>0.69899999999999995</v>
      </c>
      <c r="E268" s="3">
        <v>0.13900000000000001</v>
      </c>
      <c r="F268">
        <v>9.7000000000000003E-2</v>
      </c>
      <c r="G268">
        <v>0.77800000000000002</v>
      </c>
      <c r="H268" s="3">
        <v>0.97899999999999998</v>
      </c>
      <c r="I268" s="3">
        <f t="shared" si="4"/>
        <v>2.1000000000000019E-2</v>
      </c>
      <c r="J268">
        <v>38</v>
      </c>
      <c r="K268">
        <v>2</v>
      </c>
      <c r="L268">
        <v>3.7</v>
      </c>
    </row>
    <row r="269" spans="1:12" x14ac:dyDescent="0.2">
      <c r="A269">
        <v>56</v>
      </c>
      <c r="B269">
        <v>2714</v>
      </c>
      <c r="C269">
        <v>176</v>
      </c>
      <c r="D269">
        <v>0.7</v>
      </c>
      <c r="E269" s="3">
        <v>0.14199999999999999</v>
      </c>
      <c r="F269">
        <v>0.224</v>
      </c>
      <c r="G269">
        <v>0.96699999999999997</v>
      </c>
      <c r="H269" s="3">
        <v>0.99099999999999999</v>
      </c>
      <c r="I269" s="3">
        <f t="shared" si="4"/>
        <v>9.000000000000008E-3</v>
      </c>
      <c r="J269">
        <v>68</v>
      </c>
      <c r="K269">
        <v>3</v>
      </c>
      <c r="L269">
        <v>14.4</v>
      </c>
    </row>
    <row r="270" spans="1:12" x14ac:dyDescent="0.2">
      <c r="A270">
        <v>64</v>
      </c>
      <c r="B270">
        <v>3015</v>
      </c>
      <c r="C270">
        <v>141</v>
      </c>
      <c r="D270">
        <v>0.7</v>
      </c>
      <c r="E270" s="3">
        <v>7.3999999999999996E-2</v>
      </c>
      <c r="F270">
        <v>0.156</v>
      </c>
      <c r="G270">
        <v>0.72299999999999998</v>
      </c>
      <c r="H270" s="3">
        <v>0.96199999999999997</v>
      </c>
      <c r="I270" s="3">
        <f t="shared" si="4"/>
        <v>3.8000000000000034E-2</v>
      </c>
      <c r="J270">
        <v>30</v>
      </c>
      <c r="K270">
        <v>12</v>
      </c>
      <c r="L270">
        <v>5.3</v>
      </c>
    </row>
    <row r="271" spans="1:12" x14ac:dyDescent="0.2">
      <c r="A271">
        <v>41</v>
      </c>
      <c r="B271">
        <v>1821</v>
      </c>
      <c r="C271">
        <v>67</v>
      </c>
      <c r="D271">
        <v>0.70099999999999996</v>
      </c>
      <c r="E271" s="3">
        <v>0.09</v>
      </c>
      <c r="F271">
        <v>0.1</v>
      </c>
      <c r="G271">
        <v>0.76900000000000002</v>
      </c>
      <c r="H271" s="3">
        <v>0.94399999999999995</v>
      </c>
      <c r="I271" s="3">
        <f t="shared" si="4"/>
        <v>5.600000000000005E-2</v>
      </c>
      <c r="J271">
        <v>13</v>
      </c>
      <c r="K271">
        <v>5</v>
      </c>
      <c r="L271">
        <v>13.7</v>
      </c>
    </row>
    <row r="272" spans="1:12" x14ac:dyDescent="0.2">
      <c r="A272">
        <v>62</v>
      </c>
      <c r="B272">
        <v>2999</v>
      </c>
      <c r="C272">
        <v>82</v>
      </c>
      <c r="D272">
        <v>0.70099999999999996</v>
      </c>
      <c r="E272" s="3">
        <v>0.16600000000000001</v>
      </c>
      <c r="F272">
        <v>0.14499999999999999</v>
      </c>
      <c r="G272">
        <v>0.82599999999999996</v>
      </c>
      <c r="H272" s="3">
        <v>0.91100000000000003</v>
      </c>
      <c r="I272" s="3">
        <f t="shared" si="4"/>
        <v>8.8999999999999968E-2</v>
      </c>
      <c r="J272">
        <v>12</v>
      </c>
      <c r="K272">
        <v>12</v>
      </c>
      <c r="L272">
        <v>10.8</v>
      </c>
    </row>
    <row r="273" spans="1:12" x14ac:dyDescent="0.2">
      <c r="A273">
        <v>63</v>
      </c>
      <c r="B273">
        <v>3010</v>
      </c>
      <c r="C273">
        <v>159</v>
      </c>
      <c r="D273">
        <v>0.70099999999999996</v>
      </c>
      <c r="E273" s="3">
        <v>0.05</v>
      </c>
      <c r="F273">
        <v>0.23799999999999999</v>
      </c>
      <c r="G273">
        <v>0.95099999999999996</v>
      </c>
      <c r="H273" s="3">
        <v>0.97599999999999998</v>
      </c>
      <c r="I273" s="3">
        <f t="shared" si="4"/>
        <v>2.4000000000000021E-2</v>
      </c>
      <c r="J273">
        <v>26</v>
      </c>
      <c r="K273">
        <v>5</v>
      </c>
      <c r="L273">
        <v>8.4</v>
      </c>
    </row>
    <row r="274" spans="1:12" x14ac:dyDescent="0.2">
      <c r="A274">
        <v>24</v>
      </c>
      <c r="B274">
        <v>1083</v>
      </c>
      <c r="C274">
        <v>81</v>
      </c>
      <c r="D274">
        <v>0.70199999999999996</v>
      </c>
      <c r="E274" s="3">
        <v>0.11799999999999999</v>
      </c>
      <c r="F274">
        <v>0.105</v>
      </c>
      <c r="G274">
        <v>0.76200000000000001</v>
      </c>
      <c r="H274" s="3">
        <v>0.91700000000000004</v>
      </c>
      <c r="I274" s="3">
        <f t="shared" si="4"/>
        <v>8.2999999999999963E-2</v>
      </c>
      <c r="J274">
        <v>15</v>
      </c>
      <c r="K274">
        <v>12</v>
      </c>
      <c r="L274">
        <v>5.8</v>
      </c>
    </row>
    <row r="275" spans="1:12" x14ac:dyDescent="0.2">
      <c r="A275">
        <v>45</v>
      </c>
      <c r="B275">
        <v>2207</v>
      </c>
      <c r="C275">
        <v>154</v>
      </c>
      <c r="D275">
        <v>0.70199999999999996</v>
      </c>
      <c r="E275" s="3">
        <v>0.185</v>
      </c>
      <c r="F275">
        <v>8.5999999999999993E-2</v>
      </c>
      <c r="G275">
        <v>0.78400000000000003</v>
      </c>
      <c r="H275" s="3">
        <v>0.998</v>
      </c>
      <c r="I275" s="3">
        <f t="shared" si="4"/>
        <v>2.0000000000000018E-3</v>
      </c>
      <c r="J275">
        <v>66</v>
      </c>
      <c r="K275">
        <v>5</v>
      </c>
      <c r="L275">
        <v>2.8</v>
      </c>
    </row>
    <row r="276" spans="1:12" x14ac:dyDescent="0.2">
      <c r="A276">
        <v>66</v>
      </c>
      <c r="B276">
        <v>3201</v>
      </c>
      <c r="C276">
        <v>169</v>
      </c>
      <c r="D276">
        <v>0.70199999999999996</v>
      </c>
      <c r="E276" s="3">
        <v>0.04</v>
      </c>
      <c r="F276">
        <v>0.20100000000000001</v>
      </c>
      <c r="G276">
        <v>0.73199999999999998</v>
      </c>
      <c r="H276" s="3">
        <v>0.98</v>
      </c>
      <c r="I276" s="3">
        <f t="shared" si="4"/>
        <v>2.0000000000000018E-2</v>
      </c>
      <c r="J276">
        <v>24</v>
      </c>
      <c r="K276">
        <v>9</v>
      </c>
      <c r="L276">
        <v>13.7</v>
      </c>
    </row>
    <row r="277" spans="1:12" x14ac:dyDescent="0.2">
      <c r="A277">
        <v>40</v>
      </c>
      <c r="B277">
        <v>1796</v>
      </c>
      <c r="C277">
        <v>24</v>
      </c>
      <c r="D277">
        <v>0.70299999999999996</v>
      </c>
      <c r="E277" s="3">
        <v>0.14000000000000001</v>
      </c>
      <c r="F277">
        <v>0.26100000000000001</v>
      </c>
      <c r="G277">
        <v>0.75</v>
      </c>
      <c r="H277" s="3">
        <v>0.96399999999999997</v>
      </c>
      <c r="I277" s="3">
        <f t="shared" si="4"/>
        <v>3.6000000000000032E-2</v>
      </c>
      <c r="J277">
        <v>1</v>
      </c>
      <c r="K277">
        <v>4</v>
      </c>
      <c r="L277">
        <v>12.3</v>
      </c>
    </row>
    <row r="278" spans="1:12" x14ac:dyDescent="0.2">
      <c r="A278">
        <v>59</v>
      </c>
      <c r="B278">
        <v>2909</v>
      </c>
      <c r="C278">
        <v>124</v>
      </c>
      <c r="D278">
        <v>0.70399999999999996</v>
      </c>
      <c r="E278" s="3">
        <v>0.19700000000000001</v>
      </c>
      <c r="F278">
        <v>0.123</v>
      </c>
      <c r="G278">
        <v>0.78500000000000003</v>
      </c>
      <c r="H278" s="3">
        <v>0.92700000000000005</v>
      </c>
      <c r="I278" s="3">
        <f t="shared" si="4"/>
        <v>7.2999999999999954E-2</v>
      </c>
      <c r="J278">
        <v>59</v>
      </c>
      <c r="K278">
        <v>2</v>
      </c>
      <c r="L278">
        <v>11.9</v>
      </c>
    </row>
    <row r="279" spans="1:12" x14ac:dyDescent="0.2">
      <c r="A279">
        <v>84</v>
      </c>
      <c r="B279">
        <v>4145</v>
      </c>
      <c r="C279">
        <v>122</v>
      </c>
      <c r="D279">
        <v>0.70399999999999996</v>
      </c>
      <c r="E279" s="3">
        <v>0.17699999999999999</v>
      </c>
      <c r="F279">
        <v>0.21199999999999999</v>
      </c>
      <c r="G279">
        <v>0.86399999999999999</v>
      </c>
      <c r="H279" s="3">
        <v>0.90800000000000003</v>
      </c>
      <c r="I279" s="3">
        <f t="shared" si="4"/>
        <v>9.1999999999999971E-2</v>
      </c>
      <c r="J279">
        <v>83</v>
      </c>
      <c r="K279">
        <v>17</v>
      </c>
      <c r="L279">
        <v>9.5</v>
      </c>
    </row>
    <row r="280" spans="1:12" x14ac:dyDescent="0.2">
      <c r="A280">
        <v>64</v>
      </c>
      <c r="B280">
        <v>2995</v>
      </c>
      <c r="C280">
        <v>48</v>
      </c>
      <c r="D280">
        <v>0.70499999999999996</v>
      </c>
      <c r="E280" s="3">
        <v>2.7E-2</v>
      </c>
      <c r="F280">
        <v>0.29099999999999998</v>
      </c>
      <c r="G280">
        <v>0.80900000000000005</v>
      </c>
      <c r="H280" s="3">
        <v>0.93600000000000005</v>
      </c>
      <c r="I280" s="3">
        <f t="shared" si="4"/>
        <v>6.3999999999999946E-2</v>
      </c>
      <c r="J280">
        <v>78</v>
      </c>
      <c r="K280">
        <v>0</v>
      </c>
      <c r="L280">
        <v>14.3</v>
      </c>
    </row>
    <row r="281" spans="1:12" x14ac:dyDescent="0.2">
      <c r="A281">
        <v>95</v>
      </c>
      <c r="B281">
        <v>4607</v>
      </c>
      <c r="C281">
        <v>40</v>
      </c>
      <c r="D281">
        <v>0.70499999999999996</v>
      </c>
      <c r="E281" s="3">
        <v>0.114</v>
      </c>
      <c r="F281">
        <v>0.189</v>
      </c>
      <c r="G281">
        <v>0.72499999999999998</v>
      </c>
      <c r="H281" s="3">
        <v>0.99</v>
      </c>
      <c r="I281" s="3">
        <f t="shared" si="4"/>
        <v>1.0000000000000009E-2</v>
      </c>
      <c r="J281">
        <v>52</v>
      </c>
      <c r="K281">
        <v>16</v>
      </c>
      <c r="L281">
        <v>14.1</v>
      </c>
    </row>
    <row r="282" spans="1:12" x14ac:dyDescent="0.2">
      <c r="A282">
        <v>32</v>
      </c>
      <c r="B282">
        <v>1386</v>
      </c>
      <c r="C282">
        <v>178</v>
      </c>
      <c r="D282">
        <v>0.70599999999999996</v>
      </c>
      <c r="E282" s="3">
        <v>0.11600000000000001</v>
      </c>
      <c r="F282">
        <v>0.14399999999999999</v>
      </c>
      <c r="G282">
        <v>0.78200000000000003</v>
      </c>
      <c r="H282" s="3">
        <v>0.97699999999999998</v>
      </c>
      <c r="I282" s="3">
        <f t="shared" si="4"/>
        <v>2.300000000000002E-2</v>
      </c>
      <c r="J282">
        <v>60</v>
      </c>
      <c r="K282">
        <v>5</v>
      </c>
      <c r="L282">
        <v>14.7</v>
      </c>
    </row>
    <row r="283" spans="1:12" x14ac:dyDescent="0.2">
      <c r="A283">
        <v>47</v>
      </c>
      <c r="B283">
        <v>2111</v>
      </c>
      <c r="C283">
        <v>118</v>
      </c>
      <c r="D283">
        <v>0.70599999999999996</v>
      </c>
      <c r="E283" s="3">
        <v>5.8000000000000003E-2</v>
      </c>
      <c r="F283">
        <v>0.122</v>
      </c>
      <c r="G283">
        <v>0.85899999999999999</v>
      </c>
      <c r="H283" s="3">
        <v>0.95099999999999996</v>
      </c>
      <c r="I283" s="3">
        <f t="shared" si="4"/>
        <v>4.9000000000000044E-2</v>
      </c>
      <c r="J283">
        <v>27</v>
      </c>
      <c r="K283">
        <v>11</v>
      </c>
      <c r="L283">
        <v>3.6</v>
      </c>
    </row>
    <row r="284" spans="1:12" x14ac:dyDescent="0.2">
      <c r="A284">
        <v>61</v>
      </c>
      <c r="B284">
        <v>2808</v>
      </c>
      <c r="C284">
        <v>125</v>
      </c>
      <c r="D284">
        <v>0.70599999999999996</v>
      </c>
      <c r="E284" s="3">
        <v>0.111</v>
      </c>
      <c r="F284">
        <v>0.13900000000000001</v>
      </c>
      <c r="G284">
        <v>0.78200000000000003</v>
      </c>
      <c r="H284" s="3">
        <v>0.96399999999999997</v>
      </c>
      <c r="I284" s="3">
        <f t="shared" si="4"/>
        <v>3.6000000000000032E-2</v>
      </c>
      <c r="J284">
        <v>47</v>
      </c>
      <c r="K284">
        <v>5</v>
      </c>
      <c r="L284">
        <v>1.7</v>
      </c>
    </row>
    <row r="285" spans="1:12" x14ac:dyDescent="0.2">
      <c r="A285">
        <v>63</v>
      </c>
      <c r="B285">
        <v>2972</v>
      </c>
      <c r="C285">
        <v>66</v>
      </c>
      <c r="D285">
        <v>0.70599999999999996</v>
      </c>
      <c r="E285" s="3">
        <v>0.17399999999999999</v>
      </c>
      <c r="F285">
        <v>0.27800000000000002</v>
      </c>
      <c r="G285">
        <v>0.7</v>
      </c>
      <c r="H285" s="3">
        <v>0.92400000000000004</v>
      </c>
      <c r="I285" s="3">
        <f t="shared" si="4"/>
        <v>7.5999999999999956E-2</v>
      </c>
      <c r="J285">
        <v>12</v>
      </c>
      <c r="K285">
        <v>7</v>
      </c>
      <c r="L285">
        <v>8.3000000000000007</v>
      </c>
    </row>
    <row r="286" spans="1:12" x14ac:dyDescent="0.2">
      <c r="A286">
        <v>93</v>
      </c>
      <c r="B286">
        <v>4474</v>
      </c>
      <c r="C286">
        <v>140</v>
      </c>
      <c r="D286">
        <v>0.70599999999999996</v>
      </c>
      <c r="E286" s="3">
        <v>0.115</v>
      </c>
      <c r="F286">
        <v>0.28199999999999997</v>
      </c>
      <c r="G286">
        <v>0.98399999999999999</v>
      </c>
      <c r="H286" s="3">
        <v>0.94099999999999995</v>
      </c>
      <c r="I286" s="3">
        <f t="shared" si="4"/>
        <v>5.9000000000000052E-2</v>
      </c>
      <c r="J286">
        <v>17</v>
      </c>
      <c r="K286">
        <v>4</v>
      </c>
      <c r="L286">
        <v>6.3</v>
      </c>
    </row>
    <row r="287" spans="1:12" x14ac:dyDescent="0.2">
      <c r="A287">
        <v>70</v>
      </c>
      <c r="B287">
        <v>3256</v>
      </c>
      <c r="C287">
        <v>101</v>
      </c>
      <c r="D287">
        <v>0.70699999999999996</v>
      </c>
      <c r="E287" s="3">
        <v>0.11</v>
      </c>
      <c r="F287">
        <v>0.251</v>
      </c>
      <c r="G287">
        <v>0.71799999999999997</v>
      </c>
      <c r="H287" s="3">
        <v>0.91600000000000004</v>
      </c>
      <c r="I287" s="3">
        <f t="shared" si="4"/>
        <v>8.3999999999999964E-2</v>
      </c>
      <c r="J287">
        <v>76</v>
      </c>
      <c r="K287">
        <v>4</v>
      </c>
      <c r="L287">
        <v>6.9</v>
      </c>
    </row>
    <row r="288" spans="1:12" x14ac:dyDescent="0.2">
      <c r="A288">
        <v>61</v>
      </c>
      <c r="B288">
        <v>2845</v>
      </c>
      <c r="C288">
        <v>92</v>
      </c>
      <c r="D288">
        <v>0.70799999999999996</v>
      </c>
      <c r="E288" s="3">
        <v>4.7E-2</v>
      </c>
      <c r="F288">
        <v>7.5999999999999998E-2</v>
      </c>
      <c r="G288">
        <v>0.85799999999999998</v>
      </c>
      <c r="H288" s="3">
        <v>0.97499999999999998</v>
      </c>
      <c r="I288" s="3">
        <f t="shared" si="4"/>
        <v>2.5000000000000022E-2</v>
      </c>
      <c r="J288">
        <v>15</v>
      </c>
      <c r="K288">
        <v>5</v>
      </c>
      <c r="L288">
        <v>1.7</v>
      </c>
    </row>
    <row r="289" spans="1:12" x14ac:dyDescent="0.2">
      <c r="A289">
        <v>65</v>
      </c>
      <c r="B289">
        <v>3005</v>
      </c>
      <c r="C289">
        <v>150</v>
      </c>
      <c r="D289">
        <v>0.70799999999999996</v>
      </c>
      <c r="E289" s="3">
        <v>5.5E-2</v>
      </c>
      <c r="F289">
        <v>0.186</v>
      </c>
      <c r="G289">
        <v>0.88500000000000001</v>
      </c>
      <c r="H289" s="3">
        <v>0.95799999999999996</v>
      </c>
      <c r="I289" s="3">
        <f t="shared" si="4"/>
        <v>4.2000000000000037E-2</v>
      </c>
      <c r="J289">
        <v>50</v>
      </c>
      <c r="K289">
        <v>1</v>
      </c>
      <c r="L289">
        <v>7.1</v>
      </c>
    </row>
    <row r="290" spans="1:12" x14ac:dyDescent="0.2">
      <c r="A290">
        <v>88</v>
      </c>
      <c r="B290">
        <v>4306</v>
      </c>
      <c r="C290">
        <v>198</v>
      </c>
      <c r="D290">
        <v>0.70799999999999996</v>
      </c>
      <c r="E290" s="3">
        <v>7.3999999999999996E-2</v>
      </c>
      <c r="F290">
        <v>0.14000000000000001</v>
      </c>
      <c r="G290">
        <v>0.98</v>
      </c>
      <c r="H290" s="3">
        <v>0.94699999999999995</v>
      </c>
      <c r="I290" s="3">
        <f t="shared" si="4"/>
        <v>5.3000000000000047E-2</v>
      </c>
      <c r="J290">
        <v>78</v>
      </c>
      <c r="K290">
        <v>9</v>
      </c>
      <c r="L290">
        <v>3.6</v>
      </c>
    </row>
    <row r="291" spans="1:12" x14ac:dyDescent="0.2">
      <c r="A291">
        <v>61</v>
      </c>
      <c r="B291">
        <v>2841</v>
      </c>
      <c r="C291">
        <v>196</v>
      </c>
      <c r="D291">
        <v>0.70899999999999996</v>
      </c>
      <c r="E291" s="3">
        <v>0.08</v>
      </c>
      <c r="F291">
        <v>0.214</v>
      </c>
      <c r="G291">
        <v>0.93400000000000005</v>
      </c>
      <c r="H291" s="3">
        <v>0.98899999999999999</v>
      </c>
      <c r="I291" s="3">
        <f t="shared" si="4"/>
        <v>1.100000000000001E-2</v>
      </c>
      <c r="J291">
        <v>17</v>
      </c>
      <c r="K291">
        <v>13</v>
      </c>
      <c r="L291">
        <v>14.8</v>
      </c>
    </row>
    <row r="292" spans="1:12" x14ac:dyDescent="0.2">
      <c r="A292">
        <v>61</v>
      </c>
      <c r="B292">
        <v>2855</v>
      </c>
      <c r="C292">
        <v>175</v>
      </c>
      <c r="D292">
        <v>0.70899999999999996</v>
      </c>
      <c r="E292" s="3">
        <v>5.8999999999999997E-2</v>
      </c>
      <c r="F292">
        <v>5.8999999999999997E-2</v>
      </c>
      <c r="G292">
        <v>0.76200000000000001</v>
      </c>
      <c r="H292" s="3">
        <v>0.97399999999999998</v>
      </c>
      <c r="I292" s="3">
        <f t="shared" si="4"/>
        <v>2.6000000000000023E-2</v>
      </c>
      <c r="J292">
        <v>70</v>
      </c>
      <c r="K292">
        <v>14</v>
      </c>
      <c r="L292">
        <v>5.2</v>
      </c>
    </row>
    <row r="293" spans="1:12" x14ac:dyDescent="0.2">
      <c r="A293">
        <v>97</v>
      </c>
      <c r="B293">
        <v>4674</v>
      </c>
      <c r="C293">
        <v>52</v>
      </c>
      <c r="D293">
        <v>0.70899999999999996</v>
      </c>
      <c r="E293" s="3">
        <v>0.151</v>
      </c>
      <c r="F293">
        <v>0.191</v>
      </c>
      <c r="G293">
        <v>0.96</v>
      </c>
      <c r="H293" s="3">
        <v>0.92400000000000004</v>
      </c>
      <c r="I293" s="3">
        <f t="shared" si="4"/>
        <v>7.5999999999999956E-2</v>
      </c>
      <c r="J293">
        <v>10</v>
      </c>
      <c r="K293">
        <v>5</v>
      </c>
      <c r="L293">
        <v>2.1</v>
      </c>
    </row>
    <row r="294" spans="1:12" x14ac:dyDescent="0.2">
      <c r="A294">
        <v>38</v>
      </c>
      <c r="B294">
        <v>1862</v>
      </c>
      <c r="C294">
        <v>69</v>
      </c>
      <c r="D294">
        <v>0.71</v>
      </c>
      <c r="E294" s="3">
        <v>0.16700000000000001</v>
      </c>
      <c r="F294">
        <v>0.11700000000000001</v>
      </c>
      <c r="G294">
        <v>0.98699999999999999</v>
      </c>
      <c r="H294" s="3">
        <v>0.96499999999999997</v>
      </c>
      <c r="I294" s="3">
        <f t="shared" si="4"/>
        <v>3.5000000000000031E-2</v>
      </c>
      <c r="J294">
        <v>67</v>
      </c>
      <c r="K294">
        <v>5</v>
      </c>
      <c r="L294">
        <v>10.5</v>
      </c>
    </row>
    <row r="295" spans="1:12" x14ac:dyDescent="0.2">
      <c r="A295">
        <v>58</v>
      </c>
      <c r="B295">
        <v>2708</v>
      </c>
      <c r="C295">
        <v>188</v>
      </c>
      <c r="D295">
        <v>0.71</v>
      </c>
      <c r="E295" s="3">
        <v>0.16600000000000001</v>
      </c>
      <c r="F295">
        <v>0.214</v>
      </c>
      <c r="G295">
        <v>0.89200000000000002</v>
      </c>
      <c r="H295" s="3">
        <v>0.95299999999999996</v>
      </c>
      <c r="I295" s="3">
        <f t="shared" si="4"/>
        <v>4.7000000000000042E-2</v>
      </c>
      <c r="J295">
        <v>87</v>
      </c>
      <c r="K295">
        <v>7</v>
      </c>
      <c r="L295">
        <v>12.1</v>
      </c>
    </row>
    <row r="296" spans="1:12" x14ac:dyDescent="0.2">
      <c r="A296">
        <v>83</v>
      </c>
      <c r="B296">
        <v>3913</v>
      </c>
      <c r="C296">
        <v>92</v>
      </c>
      <c r="D296">
        <v>0.71</v>
      </c>
      <c r="E296" s="3">
        <v>0.17799999999999999</v>
      </c>
      <c r="F296">
        <v>5.8000000000000003E-2</v>
      </c>
      <c r="G296">
        <v>0.94899999999999995</v>
      </c>
      <c r="H296" s="3">
        <v>0.95699999999999996</v>
      </c>
      <c r="I296" s="3">
        <f t="shared" si="4"/>
        <v>4.3000000000000038E-2</v>
      </c>
      <c r="J296">
        <v>48</v>
      </c>
      <c r="K296">
        <v>7</v>
      </c>
      <c r="L296">
        <v>4.5</v>
      </c>
    </row>
    <row r="297" spans="1:12" x14ac:dyDescent="0.2">
      <c r="A297">
        <v>40</v>
      </c>
      <c r="B297">
        <v>1910</v>
      </c>
      <c r="C297">
        <v>19</v>
      </c>
      <c r="D297">
        <v>0.71099999999999997</v>
      </c>
      <c r="E297" s="3">
        <v>4.4999999999999998E-2</v>
      </c>
      <c r="F297">
        <v>0.27300000000000002</v>
      </c>
      <c r="G297">
        <v>0.85599999999999998</v>
      </c>
      <c r="H297" s="3">
        <v>0.96199999999999997</v>
      </c>
      <c r="I297" s="3">
        <f t="shared" si="4"/>
        <v>3.8000000000000034E-2</v>
      </c>
      <c r="J297">
        <v>53</v>
      </c>
      <c r="K297">
        <v>14</v>
      </c>
      <c r="L297">
        <v>6.7</v>
      </c>
    </row>
    <row r="298" spans="1:12" x14ac:dyDescent="0.2">
      <c r="A298">
        <v>53</v>
      </c>
      <c r="B298">
        <v>2479</v>
      </c>
      <c r="C298">
        <v>67</v>
      </c>
      <c r="D298">
        <v>0.71099999999999997</v>
      </c>
      <c r="E298" s="3">
        <v>2.1999999999999999E-2</v>
      </c>
      <c r="F298">
        <v>0.26100000000000001</v>
      </c>
      <c r="G298">
        <v>0.92200000000000004</v>
      </c>
      <c r="H298" s="3">
        <v>0.92900000000000005</v>
      </c>
      <c r="I298" s="3">
        <f t="shared" si="4"/>
        <v>7.0999999999999952E-2</v>
      </c>
      <c r="J298">
        <v>12</v>
      </c>
      <c r="K298">
        <v>10</v>
      </c>
      <c r="L298">
        <v>14.2</v>
      </c>
    </row>
    <row r="299" spans="1:12" x14ac:dyDescent="0.2">
      <c r="A299">
        <v>73</v>
      </c>
      <c r="B299">
        <v>3600</v>
      </c>
      <c r="C299">
        <v>145</v>
      </c>
      <c r="D299">
        <v>0.71099999999999997</v>
      </c>
      <c r="E299" s="3">
        <v>4.4999999999999998E-2</v>
      </c>
      <c r="F299">
        <v>0.252</v>
      </c>
      <c r="G299">
        <v>0.97399999999999998</v>
      </c>
      <c r="H299" s="3">
        <v>0.97299999999999998</v>
      </c>
      <c r="I299" s="3">
        <f t="shared" si="4"/>
        <v>2.7000000000000024E-2</v>
      </c>
      <c r="J299">
        <v>65</v>
      </c>
      <c r="K299">
        <v>12</v>
      </c>
      <c r="L299">
        <v>11.8</v>
      </c>
    </row>
    <row r="300" spans="1:12" x14ac:dyDescent="0.2">
      <c r="A300">
        <v>79</v>
      </c>
      <c r="B300">
        <v>3819</v>
      </c>
      <c r="C300">
        <v>165</v>
      </c>
      <c r="D300">
        <v>0.71199999999999997</v>
      </c>
      <c r="E300" s="3">
        <v>5.7000000000000002E-2</v>
      </c>
      <c r="F300">
        <v>9.4E-2</v>
      </c>
      <c r="G300">
        <v>0.78300000000000003</v>
      </c>
      <c r="H300" s="3">
        <v>0.97099999999999997</v>
      </c>
      <c r="I300" s="3">
        <f t="shared" si="4"/>
        <v>2.9000000000000026E-2</v>
      </c>
      <c r="J300">
        <v>72</v>
      </c>
      <c r="K300">
        <v>17</v>
      </c>
      <c r="L300">
        <v>9.8000000000000007</v>
      </c>
    </row>
    <row r="301" spans="1:12" x14ac:dyDescent="0.2">
      <c r="A301">
        <v>84</v>
      </c>
      <c r="B301">
        <v>4156</v>
      </c>
      <c r="C301">
        <v>154</v>
      </c>
      <c r="D301">
        <v>0.71199999999999997</v>
      </c>
      <c r="E301" s="3">
        <v>0.2</v>
      </c>
      <c r="F301">
        <v>0.13100000000000001</v>
      </c>
      <c r="G301">
        <v>0.89200000000000002</v>
      </c>
      <c r="H301" s="3">
        <v>0.98899999999999999</v>
      </c>
      <c r="I301" s="3">
        <f t="shared" si="4"/>
        <v>1.100000000000001E-2</v>
      </c>
      <c r="J301">
        <v>40</v>
      </c>
      <c r="K301">
        <v>18</v>
      </c>
      <c r="L301">
        <v>13.3</v>
      </c>
    </row>
    <row r="302" spans="1:12" x14ac:dyDescent="0.2">
      <c r="A302">
        <v>88</v>
      </c>
      <c r="B302">
        <v>4180</v>
      </c>
      <c r="C302">
        <v>113</v>
      </c>
      <c r="D302">
        <v>0.71199999999999997</v>
      </c>
      <c r="E302" s="3">
        <v>5.3999999999999999E-2</v>
      </c>
      <c r="F302">
        <v>0.16900000000000001</v>
      </c>
      <c r="G302">
        <v>0.73599999999999999</v>
      </c>
      <c r="H302" s="3">
        <v>0.92800000000000005</v>
      </c>
      <c r="I302" s="3">
        <f t="shared" si="4"/>
        <v>7.1999999999999953E-2</v>
      </c>
      <c r="J302">
        <v>13</v>
      </c>
      <c r="K302">
        <v>9</v>
      </c>
      <c r="L302">
        <v>4.0999999999999996</v>
      </c>
    </row>
    <row r="303" spans="1:12" x14ac:dyDescent="0.2">
      <c r="A303">
        <v>58</v>
      </c>
      <c r="B303">
        <v>2675</v>
      </c>
      <c r="C303">
        <v>103</v>
      </c>
      <c r="D303">
        <v>0.71299999999999997</v>
      </c>
      <c r="E303" s="3">
        <v>0.122</v>
      </c>
      <c r="F303">
        <v>8.2000000000000003E-2</v>
      </c>
      <c r="G303">
        <v>0.81399999999999995</v>
      </c>
      <c r="H303" s="3">
        <v>0.92700000000000005</v>
      </c>
      <c r="I303" s="3">
        <f t="shared" si="4"/>
        <v>7.2999999999999954E-2</v>
      </c>
      <c r="J303">
        <v>78</v>
      </c>
      <c r="K303">
        <v>1</v>
      </c>
      <c r="L303">
        <v>14.1</v>
      </c>
    </row>
    <row r="304" spans="1:12" x14ac:dyDescent="0.2">
      <c r="A304">
        <v>85</v>
      </c>
      <c r="B304">
        <v>4173</v>
      </c>
      <c r="C304">
        <v>102</v>
      </c>
      <c r="D304">
        <v>0.71399999999999997</v>
      </c>
      <c r="E304" s="3">
        <v>7.0000000000000007E-2</v>
      </c>
      <c r="F304">
        <v>6.3E-2</v>
      </c>
      <c r="G304">
        <v>0.96299999999999997</v>
      </c>
      <c r="H304" s="3">
        <v>0.92900000000000005</v>
      </c>
      <c r="I304" s="3">
        <f t="shared" si="4"/>
        <v>7.0999999999999952E-2</v>
      </c>
      <c r="J304">
        <v>38</v>
      </c>
      <c r="K304">
        <v>2</v>
      </c>
      <c r="L304">
        <v>12.9</v>
      </c>
    </row>
    <row r="305" spans="1:12" x14ac:dyDescent="0.2">
      <c r="A305">
        <v>87</v>
      </c>
      <c r="B305">
        <v>4236</v>
      </c>
      <c r="C305">
        <v>82</v>
      </c>
      <c r="D305">
        <v>0.71399999999999997</v>
      </c>
      <c r="E305" s="3">
        <v>0.153</v>
      </c>
      <c r="F305">
        <v>5.3999999999999999E-2</v>
      </c>
      <c r="G305">
        <v>0.72499999999999998</v>
      </c>
      <c r="H305" s="3">
        <v>0.90600000000000003</v>
      </c>
      <c r="I305" s="3">
        <f t="shared" si="4"/>
        <v>9.3999999999999972E-2</v>
      </c>
      <c r="J305">
        <v>1</v>
      </c>
      <c r="K305">
        <v>15</v>
      </c>
      <c r="L305">
        <v>1.4</v>
      </c>
    </row>
    <row r="306" spans="1:12" x14ac:dyDescent="0.2">
      <c r="A306">
        <v>26</v>
      </c>
      <c r="B306">
        <v>1234</v>
      </c>
      <c r="C306">
        <v>180</v>
      </c>
      <c r="D306">
        <v>0.71499999999999997</v>
      </c>
      <c r="E306" s="3">
        <v>7.0000000000000007E-2</v>
      </c>
      <c r="F306">
        <v>8.2000000000000003E-2</v>
      </c>
      <c r="G306">
        <v>0.77600000000000002</v>
      </c>
      <c r="H306" s="3">
        <v>0.97899999999999998</v>
      </c>
      <c r="I306" s="3">
        <f t="shared" si="4"/>
        <v>2.1000000000000019E-2</v>
      </c>
      <c r="J306">
        <v>37</v>
      </c>
      <c r="K306">
        <v>0</v>
      </c>
      <c r="L306">
        <v>7.1</v>
      </c>
    </row>
    <row r="307" spans="1:12" x14ac:dyDescent="0.2">
      <c r="A307">
        <v>34</v>
      </c>
      <c r="B307">
        <v>1674</v>
      </c>
      <c r="C307">
        <v>92</v>
      </c>
      <c r="D307">
        <v>0.71499999999999997</v>
      </c>
      <c r="E307" s="3">
        <v>7.4999999999999997E-2</v>
      </c>
      <c r="F307">
        <v>8.7999999999999995E-2</v>
      </c>
      <c r="G307">
        <v>0.79400000000000004</v>
      </c>
      <c r="H307" s="3">
        <v>0.98599999999999999</v>
      </c>
      <c r="I307" s="3">
        <f t="shared" si="4"/>
        <v>1.4000000000000012E-2</v>
      </c>
      <c r="J307">
        <v>34</v>
      </c>
      <c r="K307">
        <v>18</v>
      </c>
      <c r="L307">
        <v>13.7</v>
      </c>
    </row>
    <row r="308" spans="1:12" x14ac:dyDescent="0.2">
      <c r="A308">
        <v>41</v>
      </c>
      <c r="B308">
        <v>1872</v>
      </c>
      <c r="C308">
        <v>152</v>
      </c>
      <c r="D308">
        <v>0.71499999999999997</v>
      </c>
      <c r="E308" s="3">
        <v>0.187</v>
      </c>
      <c r="F308">
        <v>0.151</v>
      </c>
      <c r="G308">
        <v>0.97399999999999998</v>
      </c>
      <c r="H308" s="3">
        <v>0.96299999999999997</v>
      </c>
      <c r="I308" s="3">
        <f t="shared" si="4"/>
        <v>3.7000000000000033E-2</v>
      </c>
      <c r="J308">
        <v>95</v>
      </c>
      <c r="K308">
        <v>6</v>
      </c>
      <c r="L308">
        <v>7.3</v>
      </c>
    </row>
    <row r="309" spans="1:12" x14ac:dyDescent="0.2">
      <c r="A309">
        <v>41</v>
      </c>
      <c r="B309">
        <v>1871</v>
      </c>
      <c r="C309">
        <v>73</v>
      </c>
      <c r="D309">
        <v>0.71599999999999997</v>
      </c>
      <c r="E309" s="3">
        <v>2.8000000000000001E-2</v>
      </c>
      <c r="F309">
        <v>0.17499999999999999</v>
      </c>
      <c r="G309">
        <v>0.747</v>
      </c>
      <c r="H309" s="3">
        <v>0.95799999999999996</v>
      </c>
      <c r="I309" s="3">
        <f t="shared" si="4"/>
        <v>4.2000000000000037E-2</v>
      </c>
      <c r="J309">
        <v>50</v>
      </c>
      <c r="K309">
        <v>17</v>
      </c>
      <c r="L309">
        <v>13.2</v>
      </c>
    </row>
    <row r="310" spans="1:12" x14ac:dyDescent="0.2">
      <c r="A310">
        <v>59</v>
      </c>
      <c r="B310">
        <v>2833</v>
      </c>
      <c r="C310">
        <v>76</v>
      </c>
      <c r="D310">
        <v>0.71599999999999997</v>
      </c>
      <c r="E310" s="3">
        <v>3.4000000000000002E-2</v>
      </c>
      <c r="F310">
        <v>0.125</v>
      </c>
      <c r="G310">
        <v>0.71699999999999997</v>
      </c>
      <c r="H310" s="3">
        <v>0.90400000000000003</v>
      </c>
      <c r="I310" s="3">
        <f t="shared" si="4"/>
        <v>9.5999999999999974E-2</v>
      </c>
      <c r="J310">
        <v>97</v>
      </c>
      <c r="K310">
        <v>16</v>
      </c>
      <c r="L310">
        <v>3.2</v>
      </c>
    </row>
    <row r="311" spans="1:12" x14ac:dyDescent="0.2">
      <c r="A311">
        <v>74</v>
      </c>
      <c r="B311">
        <v>3493</v>
      </c>
      <c r="C311">
        <v>166</v>
      </c>
      <c r="D311">
        <v>0.71599999999999997</v>
      </c>
      <c r="E311" s="3">
        <v>3.5999999999999997E-2</v>
      </c>
      <c r="F311">
        <v>0.27</v>
      </c>
      <c r="G311">
        <v>0.98399999999999999</v>
      </c>
      <c r="H311" s="3">
        <v>0.98299999999999998</v>
      </c>
      <c r="I311" s="3">
        <f t="shared" si="4"/>
        <v>1.7000000000000015E-2</v>
      </c>
      <c r="J311">
        <v>44</v>
      </c>
      <c r="K311">
        <v>12</v>
      </c>
      <c r="L311">
        <v>11.9</v>
      </c>
    </row>
    <row r="312" spans="1:12" x14ac:dyDescent="0.2">
      <c r="A312">
        <v>85</v>
      </c>
      <c r="B312">
        <v>3998</v>
      </c>
      <c r="C312">
        <v>14</v>
      </c>
      <c r="D312">
        <v>0.71599999999999997</v>
      </c>
      <c r="E312" s="3">
        <v>0.11600000000000001</v>
      </c>
      <c r="F312">
        <v>0.187</v>
      </c>
      <c r="G312">
        <v>0.80300000000000005</v>
      </c>
      <c r="H312" s="3">
        <v>0.94499999999999995</v>
      </c>
      <c r="I312" s="3">
        <f t="shared" si="4"/>
        <v>5.5000000000000049E-2</v>
      </c>
      <c r="J312">
        <v>75</v>
      </c>
      <c r="K312">
        <v>10</v>
      </c>
      <c r="L312">
        <v>3.3</v>
      </c>
    </row>
    <row r="313" spans="1:12" x14ac:dyDescent="0.2">
      <c r="A313">
        <v>32</v>
      </c>
      <c r="B313">
        <v>1364</v>
      </c>
      <c r="C313">
        <v>178</v>
      </c>
      <c r="D313">
        <v>0.71699999999999997</v>
      </c>
      <c r="E313" s="3">
        <v>0.19900000000000001</v>
      </c>
      <c r="F313">
        <v>0.23400000000000001</v>
      </c>
      <c r="G313">
        <v>0.96299999999999997</v>
      </c>
      <c r="H313" s="3">
        <v>0.96199999999999997</v>
      </c>
      <c r="I313" s="3">
        <f t="shared" si="4"/>
        <v>3.8000000000000034E-2</v>
      </c>
      <c r="J313">
        <v>76</v>
      </c>
      <c r="K313">
        <v>3</v>
      </c>
      <c r="L313">
        <v>5.6</v>
      </c>
    </row>
    <row r="314" spans="1:12" x14ac:dyDescent="0.2">
      <c r="A314">
        <v>34</v>
      </c>
      <c r="B314">
        <v>1647</v>
      </c>
      <c r="C314">
        <v>58</v>
      </c>
      <c r="D314">
        <v>0.71799999999999997</v>
      </c>
      <c r="E314" s="3">
        <v>2.7E-2</v>
      </c>
      <c r="F314">
        <v>0.19900000000000001</v>
      </c>
      <c r="G314">
        <v>0.745</v>
      </c>
      <c r="H314" s="3">
        <v>0.94499999999999995</v>
      </c>
      <c r="I314" s="3">
        <f t="shared" si="4"/>
        <v>5.5000000000000049E-2</v>
      </c>
      <c r="J314">
        <v>76</v>
      </c>
      <c r="K314">
        <v>1</v>
      </c>
      <c r="L314">
        <v>6.2</v>
      </c>
    </row>
    <row r="315" spans="1:12" x14ac:dyDescent="0.2">
      <c r="A315">
        <v>95</v>
      </c>
      <c r="B315">
        <v>4613</v>
      </c>
      <c r="C315">
        <v>27</v>
      </c>
      <c r="D315">
        <v>0.71799999999999997</v>
      </c>
      <c r="E315" s="3">
        <v>7.9000000000000001E-2</v>
      </c>
      <c r="F315">
        <v>0.28499999999999998</v>
      </c>
      <c r="G315">
        <v>0.81399999999999995</v>
      </c>
      <c r="H315" s="3">
        <v>0.97599999999999998</v>
      </c>
      <c r="I315" s="3">
        <f t="shared" si="4"/>
        <v>2.4000000000000021E-2</v>
      </c>
      <c r="J315">
        <v>3</v>
      </c>
      <c r="K315">
        <v>15</v>
      </c>
      <c r="L315">
        <v>7.6</v>
      </c>
    </row>
    <row r="316" spans="1:12" x14ac:dyDescent="0.2">
      <c r="A316">
        <v>55</v>
      </c>
      <c r="B316">
        <v>2551</v>
      </c>
      <c r="C316">
        <v>139</v>
      </c>
      <c r="D316">
        <v>0.71899999999999997</v>
      </c>
      <c r="E316" s="3">
        <v>0.184</v>
      </c>
      <c r="F316">
        <v>0.13</v>
      </c>
      <c r="G316">
        <v>0.84499999999999997</v>
      </c>
      <c r="H316" s="3">
        <v>0.90900000000000003</v>
      </c>
      <c r="I316" s="3">
        <f t="shared" si="4"/>
        <v>9.099999999999997E-2</v>
      </c>
      <c r="J316">
        <v>65</v>
      </c>
      <c r="K316">
        <v>11</v>
      </c>
      <c r="L316">
        <v>10.199999999999999</v>
      </c>
    </row>
    <row r="317" spans="1:12" x14ac:dyDescent="0.2">
      <c r="A317">
        <v>57</v>
      </c>
      <c r="B317">
        <v>2693</v>
      </c>
      <c r="C317">
        <v>196</v>
      </c>
      <c r="D317">
        <v>0.72</v>
      </c>
      <c r="E317" s="3">
        <v>4.9000000000000002E-2</v>
      </c>
      <c r="F317">
        <v>0.24399999999999999</v>
      </c>
      <c r="G317">
        <v>0.93300000000000005</v>
      </c>
      <c r="H317" s="3">
        <v>0.97899999999999998</v>
      </c>
      <c r="I317" s="3">
        <f t="shared" si="4"/>
        <v>2.1000000000000019E-2</v>
      </c>
      <c r="J317">
        <v>96</v>
      </c>
      <c r="K317">
        <v>1</v>
      </c>
      <c r="L317">
        <v>12.5</v>
      </c>
    </row>
    <row r="318" spans="1:12" x14ac:dyDescent="0.2">
      <c r="A318">
        <v>60</v>
      </c>
      <c r="B318">
        <v>2884</v>
      </c>
      <c r="C318">
        <v>138</v>
      </c>
      <c r="D318">
        <v>0.72</v>
      </c>
      <c r="E318" s="3">
        <v>0.19400000000000001</v>
      </c>
      <c r="F318">
        <v>0.27700000000000002</v>
      </c>
      <c r="G318">
        <v>0.94399999999999995</v>
      </c>
      <c r="H318" s="3">
        <v>0.92700000000000005</v>
      </c>
      <c r="I318" s="3">
        <f t="shared" si="4"/>
        <v>7.2999999999999954E-2</v>
      </c>
      <c r="J318">
        <v>61</v>
      </c>
      <c r="K318">
        <v>2</v>
      </c>
      <c r="L318">
        <v>4.3</v>
      </c>
    </row>
    <row r="319" spans="1:12" x14ac:dyDescent="0.2">
      <c r="A319">
        <v>70</v>
      </c>
      <c r="B319">
        <v>3459</v>
      </c>
      <c r="C319">
        <v>11</v>
      </c>
      <c r="D319">
        <v>0.72</v>
      </c>
      <c r="E319" s="3">
        <v>0.10299999999999999</v>
      </c>
      <c r="F319">
        <v>0.14699999999999999</v>
      </c>
      <c r="G319">
        <v>0.97499999999999998</v>
      </c>
      <c r="H319" s="3">
        <v>0.92600000000000005</v>
      </c>
      <c r="I319" s="3">
        <f t="shared" si="4"/>
        <v>7.3999999999999955E-2</v>
      </c>
      <c r="J319">
        <v>34</v>
      </c>
      <c r="K319">
        <v>16</v>
      </c>
      <c r="L319">
        <v>12</v>
      </c>
    </row>
    <row r="320" spans="1:12" x14ac:dyDescent="0.2">
      <c r="A320">
        <v>96</v>
      </c>
      <c r="B320">
        <v>4716</v>
      </c>
      <c r="C320">
        <v>198</v>
      </c>
      <c r="D320">
        <v>0.72</v>
      </c>
      <c r="E320" s="3">
        <v>6.7000000000000004E-2</v>
      </c>
      <c r="F320">
        <v>0.25</v>
      </c>
      <c r="G320">
        <v>0.97399999999999998</v>
      </c>
      <c r="H320" s="3">
        <v>0.98599999999999999</v>
      </c>
      <c r="I320" s="3">
        <f t="shared" si="4"/>
        <v>1.4000000000000012E-2</v>
      </c>
      <c r="J320">
        <v>13</v>
      </c>
      <c r="K320">
        <v>15</v>
      </c>
      <c r="L320">
        <v>1</v>
      </c>
    </row>
    <row r="321" spans="1:12" x14ac:dyDescent="0.2">
      <c r="A321">
        <v>102</v>
      </c>
      <c r="B321">
        <v>4906</v>
      </c>
      <c r="C321">
        <v>55</v>
      </c>
      <c r="D321">
        <v>0.72</v>
      </c>
      <c r="E321" s="3">
        <v>0.161</v>
      </c>
      <c r="F321">
        <v>5.1999999999999998E-2</v>
      </c>
      <c r="G321">
        <v>0.84499999999999997</v>
      </c>
      <c r="H321" s="3">
        <v>0.97799999999999998</v>
      </c>
      <c r="I321" s="3">
        <f t="shared" si="4"/>
        <v>2.200000000000002E-2</v>
      </c>
      <c r="J321">
        <v>46</v>
      </c>
      <c r="K321">
        <v>2</v>
      </c>
      <c r="L321">
        <v>9</v>
      </c>
    </row>
    <row r="322" spans="1:12" x14ac:dyDescent="0.2">
      <c r="A322">
        <v>53</v>
      </c>
      <c r="B322">
        <v>2510</v>
      </c>
      <c r="C322">
        <v>84</v>
      </c>
      <c r="D322">
        <v>0.72199999999999998</v>
      </c>
      <c r="E322" s="3">
        <v>7.0999999999999994E-2</v>
      </c>
      <c r="F322">
        <v>0.125</v>
      </c>
      <c r="G322">
        <v>0.82</v>
      </c>
      <c r="H322" s="3">
        <v>0.99399999999999999</v>
      </c>
      <c r="I322" s="3">
        <f t="shared" si="4"/>
        <v>6.0000000000000053E-3</v>
      </c>
      <c r="J322">
        <v>10</v>
      </c>
      <c r="K322">
        <v>4</v>
      </c>
      <c r="L322">
        <v>9.6</v>
      </c>
    </row>
    <row r="323" spans="1:12" x14ac:dyDescent="0.2">
      <c r="A323">
        <v>90</v>
      </c>
      <c r="B323">
        <v>4240</v>
      </c>
      <c r="C323">
        <v>85</v>
      </c>
      <c r="D323">
        <v>0.72199999999999998</v>
      </c>
      <c r="E323" s="3">
        <v>3.4000000000000002E-2</v>
      </c>
      <c r="F323">
        <v>0.22700000000000001</v>
      </c>
      <c r="G323">
        <v>0.749</v>
      </c>
      <c r="H323" s="3">
        <v>0.90700000000000003</v>
      </c>
      <c r="I323" s="3">
        <f t="shared" ref="I323:I386" si="5">1-H323</f>
        <v>9.2999999999999972E-2</v>
      </c>
      <c r="J323">
        <v>11</v>
      </c>
      <c r="K323">
        <v>9</v>
      </c>
      <c r="L323">
        <v>1.6</v>
      </c>
    </row>
    <row r="324" spans="1:12" x14ac:dyDescent="0.2">
      <c r="A324">
        <v>95</v>
      </c>
      <c r="B324">
        <v>4536</v>
      </c>
      <c r="C324">
        <v>72</v>
      </c>
      <c r="D324">
        <v>0.72199999999999998</v>
      </c>
      <c r="E324" s="3">
        <v>0.13800000000000001</v>
      </c>
      <c r="F324">
        <v>7.6999999999999999E-2</v>
      </c>
      <c r="G324">
        <v>0.78800000000000003</v>
      </c>
      <c r="H324" s="3">
        <v>0.91300000000000003</v>
      </c>
      <c r="I324" s="3">
        <f t="shared" si="5"/>
        <v>8.6999999999999966E-2</v>
      </c>
      <c r="J324">
        <v>40</v>
      </c>
      <c r="K324">
        <v>9</v>
      </c>
      <c r="L324">
        <v>3.8</v>
      </c>
    </row>
    <row r="325" spans="1:12" x14ac:dyDescent="0.2">
      <c r="A325">
        <v>29</v>
      </c>
      <c r="B325">
        <v>1326</v>
      </c>
      <c r="C325">
        <v>22</v>
      </c>
      <c r="D325">
        <v>0.72299999999999998</v>
      </c>
      <c r="E325" s="3">
        <v>9.4E-2</v>
      </c>
      <c r="F325">
        <v>0.159</v>
      </c>
      <c r="G325">
        <v>0.83599999999999997</v>
      </c>
      <c r="H325" s="3">
        <v>0.91300000000000003</v>
      </c>
      <c r="I325" s="3">
        <f t="shared" si="5"/>
        <v>8.6999999999999966E-2</v>
      </c>
      <c r="J325">
        <v>90</v>
      </c>
      <c r="K325">
        <v>15</v>
      </c>
      <c r="L325">
        <v>1.9</v>
      </c>
    </row>
    <row r="326" spans="1:12" x14ac:dyDescent="0.2">
      <c r="A326">
        <v>34</v>
      </c>
      <c r="B326">
        <v>1483</v>
      </c>
      <c r="C326">
        <v>101</v>
      </c>
      <c r="D326">
        <v>0.72299999999999998</v>
      </c>
      <c r="E326" s="3">
        <v>0.188</v>
      </c>
      <c r="F326">
        <v>0.29299999999999998</v>
      </c>
      <c r="G326">
        <v>0.92400000000000004</v>
      </c>
      <c r="H326" s="3">
        <v>0.999</v>
      </c>
      <c r="I326" s="3">
        <f t="shared" si="5"/>
        <v>1.0000000000000009E-3</v>
      </c>
      <c r="J326">
        <v>20</v>
      </c>
      <c r="K326">
        <v>13</v>
      </c>
      <c r="L326">
        <v>8.3000000000000007</v>
      </c>
    </row>
    <row r="327" spans="1:12" x14ac:dyDescent="0.2">
      <c r="A327">
        <v>88</v>
      </c>
      <c r="B327">
        <v>4270</v>
      </c>
      <c r="C327">
        <v>148</v>
      </c>
      <c r="D327">
        <v>0.72299999999999998</v>
      </c>
      <c r="E327" s="3">
        <v>1.0999999999999999E-2</v>
      </c>
      <c r="F327">
        <v>0.26100000000000001</v>
      </c>
      <c r="G327">
        <v>0.83699999999999997</v>
      </c>
      <c r="H327" s="3">
        <v>0.95399999999999996</v>
      </c>
      <c r="I327" s="3">
        <f t="shared" si="5"/>
        <v>4.6000000000000041E-2</v>
      </c>
      <c r="J327">
        <v>69</v>
      </c>
      <c r="K327">
        <v>6</v>
      </c>
      <c r="L327">
        <v>14.4</v>
      </c>
    </row>
    <row r="328" spans="1:12" x14ac:dyDescent="0.2">
      <c r="A328">
        <v>92</v>
      </c>
      <c r="B328">
        <v>4462</v>
      </c>
      <c r="C328">
        <v>192</v>
      </c>
      <c r="D328">
        <v>0.72299999999999998</v>
      </c>
      <c r="E328" s="3">
        <v>4.9000000000000002E-2</v>
      </c>
      <c r="F328">
        <v>6.4000000000000001E-2</v>
      </c>
      <c r="G328">
        <v>0.77600000000000002</v>
      </c>
      <c r="H328" s="3">
        <v>0.94299999999999995</v>
      </c>
      <c r="I328" s="3">
        <f t="shared" si="5"/>
        <v>5.7000000000000051E-2</v>
      </c>
      <c r="J328">
        <v>25</v>
      </c>
      <c r="K328">
        <v>0</v>
      </c>
      <c r="L328">
        <v>6.5</v>
      </c>
    </row>
    <row r="329" spans="1:12" x14ac:dyDescent="0.2">
      <c r="A329">
        <v>67</v>
      </c>
      <c r="B329">
        <v>3111</v>
      </c>
      <c r="C329">
        <v>16</v>
      </c>
      <c r="D329">
        <v>0.72399999999999998</v>
      </c>
      <c r="E329" s="3">
        <v>0.13600000000000001</v>
      </c>
      <c r="F329">
        <v>0.191</v>
      </c>
      <c r="G329">
        <v>0.81</v>
      </c>
      <c r="H329" s="3">
        <v>0.96399999999999997</v>
      </c>
      <c r="I329" s="3">
        <f t="shared" si="5"/>
        <v>3.6000000000000032E-2</v>
      </c>
      <c r="J329">
        <v>78</v>
      </c>
      <c r="K329">
        <v>5</v>
      </c>
      <c r="L329">
        <v>13</v>
      </c>
    </row>
    <row r="330" spans="1:12" x14ac:dyDescent="0.2">
      <c r="A330">
        <v>95</v>
      </c>
      <c r="B330">
        <v>4599</v>
      </c>
      <c r="C330">
        <v>28</v>
      </c>
      <c r="D330">
        <v>0.72599999999999998</v>
      </c>
      <c r="E330" s="3">
        <v>0.115</v>
      </c>
      <c r="F330">
        <v>0.28699999999999998</v>
      </c>
      <c r="G330">
        <v>0.80600000000000005</v>
      </c>
      <c r="H330" s="3">
        <v>0.94299999999999995</v>
      </c>
      <c r="I330" s="3">
        <f t="shared" si="5"/>
        <v>5.7000000000000051E-2</v>
      </c>
      <c r="J330">
        <v>55</v>
      </c>
      <c r="K330">
        <v>15</v>
      </c>
      <c r="L330">
        <v>9.6999999999999993</v>
      </c>
    </row>
    <row r="331" spans="1:12" x14ac:dyDescent="0.2">
      <c r="A331">
        <v>93</v>
      </c>
      <c r="B331">
        <v>4607</v>
      </c>
      <c r="C331">
        <v>39</v>
      </c>
      <c r="D331">
        <v>0.72599999999999998</v>
      </c>
      <c r="E331" s="3">
        <v>2.5000000000000001E-2</v>
      </c>
      <c r="F331">
        <v>0.28299999999999997</v>
      </c>
      <c r="G331">
        <v>0.88200000000000001</v>
      </c>
      <c r="H331" s="3">
        <v>0.995</v>
      </c>
      <c r="I331" s="3">
        <f t="shared" si="5"/>
        <v>5.0000000000000044E-3</v>
      </c>
      <c r="J331">
        <v>45</v>
      </c>
      <c r="K331">
        <v>11</v>
      </c>
      <c r="L331">
        <v>8.8000000000000007</v>
      </c>
    </row>
    <row r="332" spans="1:12" x14ac:dyDescent="0.2">
      <c r="A332">
        <v>80</v>
      </c>
      <c r="B332">
        <v>3828</v>
      </c>
      <c r="C332">
        <v>86</v>
      </c>
      <c r="D332">
        <v>0.72699999999999998</v>
      </c>
      <c r="E332" s="3">
        <v>0.114</v>
      </c>
      <c r="F332">
        <v>9.0999999999999998E-2</v>
      </c>
      <c r="G332">
        <v>0.84</v>
      </c>
      <c r="H332" s="3">
        <v>0.94899999999999995</v>
      </c>
      <c r="I332" s="3">
        <f t="shared" si="5"/>
        <v>5.1000000000000045E-2</v>
      </c>
      <c r="J332">
        <v>5</v>
      </c>
      <c r="K332">
        <v>6</v>
      </c>
      <c r="L332">
        <v>2</v>
      </c>
    </row>
    <row r="333" spans="1:12" x14ac:dyDescent="0.2">
      <c r="A333">
        <v>101</v>
      </c>
      <c r="B333">
        <v>4877</v>
      </c>
      <c r="C333">
        <v>31</v>
      </c>
      <c r="D333">
        <v>0.72699999999999998</v>
      </c>
      <c r="E333" s="3">
        <v>4.5999999999999999E-2</v>
      </c>
      <c r="F333">
        <v>0.151</v>
      </c>
      <c r="G333">
        <v>0.84</v>
      </c>
      <c r="H333" s="3">
        <v>0.90300000000000002</v>
      </c>
      <c r="I333" s="3">
        <f t="shared" si="5"/>
        <v>9.6999999999999975E-2</v>
      </c>
      <c r="J333">
        <v>40</v>
      </c>
      <c r="K333">
        <v>6</v>
      </c>
      <c r="L333">
        <v>12.1</v>
      </c>
    </row>
    <row r="334" spans="1:12" x14ac:dyDescent="0.2">
      <c r="A334">
        <v>34</v>
      </c>
      <c r="B334">
        <v>1541</v>
      </c>
      <c r="C334">
        <v>158</v>
      </c>
      <c r="D334">
        <v>0.72799999999999998</v>
      </c>
      <c r="E334" s="3">
        <v>8.5000000000000006E-2</v>
      </c>
      <c r="F334">
        <v>0.23300000000000001</v>
      </c>
      <c r="G334">
        <v>0.98</v>
      </c>
      <c r="H334" s="3">
        <v>0.97199999999999998</v>
      </c>
      <c r="I334" s="3">
        <f t="shared" si="5"/>
        <v>2.8000000000000025E-2</v>
      </c>
      <c r="J334">
        <v>2</v>
      </c>
      <c r="K334">
        <v>10</v>
      </c>
      <c r="L334">
        <v>7.3</v>
      </c>
    </row>
    <row r="335" spans="1:12" x14ac:dyDescent="0.2">
      <c r="A335">
        <v>64</v>
      </c>
      <c r="B335">
        <v>3059</v>
      </c>
      <c r="C335">
        <v>167</v>
      </c>
      <c r="D335">
        <v>0.72799999999999998</v>
      </c>
      <c r="E335" s="3">
        <v>0.112</v>
      </c>
      <c r="F335">
        <v>9.9000000000000005E-2</v>
      </c>
      <c r="G335">
        <v>0.76100000000000001</v>
      </c>
      <c r="H335" s="3">
        <v>0.90400000000000003</v>
      </c>
      <c r="I335" s="3">
        <f t="shared" si="5"/>
        <v>9.5999999999999974E-2</v>
      </c>
      <c r="J335">
        <v>15</v>
      </c>
      <c r="K335">
        <v>13</v>
      </c>
      <c r="L335">
        <v>14.5</v>
      </c>
    </row>
    <row r="336" spans="1:12" x14ac:dyDescent="0.2">
      <c r="A336">
        <v>43</v>
      </c>
      <c r="B336">
        <v>1939</v>
      </c>
      <c r="C336">
        <v>78</v>
      </c>
      <c r="D336">
        <v>0.72899999999999998</v>
      </c>
      <c r="E336" s="3">
        <v>1.9E-2</v>
      </c>
      <c r="F336">
        <v>0.10100000000000001</v>
      </c>
      <c r="G336">
        <v>0.80300000000000005</v>
      </c>
      <c r="H336" s="3">
        <v>0.95299999999999996</v>
      </c>
      <c r="I336" s="3">
        <f t="shared" si="5"/>
        <v>4.7000000000000042E-2</v>
      </c>
      <c r="J336">
        <v>89</v>
      </c>
      <c r="K336">
        <v>7</v>
      </c>
      <c r="L336">
        <v>2.5</v>
      </c>
    </row>
    <row r="337" spans="1:12" x14ac:dyDescent="0.2">
      <c r="A337">
        <v>54</v>
      </c>
      <c r="B337">
        <v>2525</v>
      </c>
      <c r="C337">
        <v>169</v>
      </c>
      <c r="D337">
        <v>0.72899999999999998</v>
      </c>
      <c r="E337" s="3">
        <v>0.10299999999999999</v>
      </c>
      <c r="F337">
        <v>7.5999999999999998E-2</v>
      </c>
      <c r="G337">
        <v>0.91200000000000003</v>
      </c>
      <c r="H337" s="3">
        <v>0.97</v>
      </c>
      <c r="I337" s="3">
        <f t="shared" si="5"/>
        <v>3.0000000000000027E-2</v>
      </c>
      <c r="J337">
        <v>79</v>
      </c>
      <c r="K337">
        <v>17</v>
      </c>
      <c r="L337">
        <v>4.3</v>
      </c>
    </row>
    <row r="338" spans="1:12" x14ac:dyDescent="0.2">
      <c r="A338">
        <v>86</v>
      </c>
      <c r="B338">
        <v>4096</v>
      </c>
      <c r="C338">
        <v>187</v>
      </c>
      <c r="D338">
        <v>0.72899999999999998</v>
      </c>
      <c r="E338" s="3">
        <v>0.08</v>
      </c>
      <c r="F338">
        <v>0.27300000000000002</v>
      </c>
      <c r="G338">
        <v>0.82599999999999996</v>
      </c>
      <c r="H338" s="3">
        <v>0.91500000000000004</v>
      </c>
      <c r="I338" s="3">
        <f t="shared" si="5"/>
        <v>8.4999999999999964E-2</v>
      </c>
      <c r="J338">
        <v>17</v>
      </c>
      <c r="K338">
        <v>3</v>
      </c>
      <c r="L338">
        <v>5.2</v>
      </c>
    </row>
    <row r="339" spans="1:12" x14ac:dyDescent="0.2">
      <c r="A339">
        <v>83</v>
      </c>
      <c r="B339">
        <v>4008</v>
      </c>
      <c r="C339">
        <v>71</v>
      </c>
      <c r="D339">
        <v>0.73</v>
      </c>
      <c r="E339" s="3">
        <v>0.114</v>
      </c>
      <c r="F339">
        <v>6.6000000000000003E-2</v>
      </c>
      <c r="G339">
        <v>0.88900000000000001</v>
      </c>
      <c r="H339" s="3">
        <v>0.91200000000000003</v>
      </c>
      <c r="I339" s="3">
        <f t="shared" si="5"/>
        <v>8.7999999999999967E-2</v>
      </c>
      <c r="J339">
        <v>69</v>
      </c>
      <c r="K339">
        <v>16</v>
      </c>
      <c r="L339">
        <v>9.6</v>
      </c>
    </row>
    <row r="340" spans="1:12" x14ac:dyDescent="0.2">
      <c r="A340">
        <v>99</v>
      </c>
      <c r="B340">
        <v>4921</v>
      </c>
      <c r="C340">
        <v>41</v>
      </c>
      <c r="D340">
        <v>0.73</v>
      </c>
      <c r="E340" s="3">
        <v>3.3000000000000002E-2</v>
      </c>
      <c r="F340">
        <v>0.17599999999999999</v>
      </c>
      <c r="G340">
        <v>0.89300000000000002</v>
      </c>
      <c r="H340" s="3">
        <v>0.92100000000000004</v>
      </c>
      <c r="I340" s="3">
        <f t="shared" si="5"/>
        <v>7.8999999999999959E-2</v>
      </c>
      <c r="J340">
        <v>37</v>
      </c>
      <c r="K340">
        <v>0</v>
      </c>
      <c r="L340">
        <v>12.9</v>
      </c>
    </row>
    <row r="341" spans="1:12" x14ac:dyDescent="0.2">
      <c r="A341">
        <v>77</v>
      </c>
      <c r="B341">
        <v>3593</v>
      </c>
      <c r="C341">
        <v>175</v>
      </c>
      <c r="D341">
        <v>0.73099999999999998</v>
      </c>
      <c r="E341" s="3">
        <v>0.10299999999999999</v>
      </c>
      <c r="F341">
        <v>0.24</v>
      </c>
      <c r="G341">
        <v>0.72499999999999998</v>
      </c>
      <c r="H341" s="3">
        <v>0.97499999999999998</v>
      </c>
      <c r="I341" s="3">
        <f t="shared" si="5"/>
        <v>2.5000000000000022E-2</v>
      </c>
      <c r="J341">
        <v>65</v>
      </c>
      <c r="K341">
        <v>11</v>
      </c>
      <c r="L341">
        <v>2.2000000000000002</v>
      </c>
    </row>
    <row r="342" spans="1:12" x14ac:dyDescent="0.2">
      <c r="A342">
        <v>57</v>
      </c>
      <c r="B342">
        <v>2642</v>
      </c>
      <c r="C342">
        <v>70</v>
      </c>
      <c r="D342">
        <v>0.73199999999999998</v>
      </c>
      <c r="E342" s="3">
        <v>0.14899999999999999</v>
      </c>
      <c r="F342">
        <v>0.216</v>
      </c>
      <c r="G342">
        <v>0.746</v>
      </c>
      <c r="H342" s="3">
        <v>0.97799999999999998</v>
      </c>
      <c r="I342" s="3">
        <f t="shared" si="5"/>
        <v>2.200000000000002E-2</v>
      </c>
      <c r="J342">
        <v>18</v>
      </c>
      <c r="K342">
        <v>4</v>
      </c>
      <c r="L342">
        <v>13.7</v>
      </c>
    </row>
    <row r="343" spans="1:12" x14ac:dyDescent="0.2">
      <c r="A343">
        <v>70</v>
      </c>
      <c r="B343">
        <v>3295</v>
      </c>
      <c r="C343">
        <v>72</v>
      </c>
      <c r="D343">
        <v>0.73199999999999998</v>
      </c>
      <c r="E343" s="3">
        <v>7.2999999999999995E-2</v>
      </c>
      <c r="F343">
        <v>0.14099999999999999</v>
      </c>
      <c r="G343">
        <v>0.72699999999999998</v>
      </c>
      <c r="H343" s="3">
        <v>0.94199999999999995</v>
      </c>
      <c r="I343" s="3">
        <f t="shared" si="5"/>
        <v>5.8000000000000052E-2</v>
      </c>
      <c r="J343">
        <v>61</v>
      </c>
      <c r="K343">
        <v>3</v>
      </c>
      <c r="L343">
        <v>13.4</v>
      </c>
    </row>
    <row r="344" spans="1:12" x14ac:dyDescent="0.2">
      <c r="A344">
        <v>91</v>
      </c>
      <c r="B344">
        <v>4483</v>
      </c>
      <c r="C344">
        <v>138</v>
      </c>
      <c r="D344">
        <v>0.73199999999999998</v>
      </c>
      <c r="E344" s="3">
        <v>0.14199999999999999</v>
      </c>
      <c r="F344">
        <v>0.13400000000000001</v>
      </c>
      <c r="G344">
        <v>0.77700000000000002</v>
      </c>
      <c r="H344" s="3">
        <v>0.90100000000000002</v>
      </c>
      <c r="I344" s="3">
        <f t="shared" si="5"/>
        <v>9.8999999999999977E-2</v>
      </c>
      <c r="J344">
        <v>23</v>
      </c>
      <c r="K344">
        <v>8</v>
      </c>
      <c r="L344">
        <v>11.2</v>
      </c>
    </row>
    <row r="345" spans="1:12" x14ac:dyDescent="0.2">
      <c r="A345">
        <v>27</v>
      </c>
      <c r="B345">
        <v>1081</v>
      </c>
      <c r="C345">
        <v>166</v>
      </c>
      <c r="D345">
        <v>0.73299999999999998</v>
      </c>
      <c r="E345" s="3">
        <v>0.158</v>
      </c>
      <c r="F345">
        <v>0.158</v>
      </c>
      <c r="G345">
        <v>0.86599999999999999</v>
      </c>
      <c r="H345" s="3">
        <v>0.98699999999999999</v>
      </c>
      <c r="I345" s="3">
        <f t="shared" si="5"/>
        <v>1.3000000000000012E-2</v>
      </c>
      <c r="J345">
        <v>74</v>
      </c>
      <c r="K345">
        <v>7</v>
      </c>
      <c r="L345">
        <v>5.5</v>
      </c>
    </row>
    <row r="346" spans="1:12" x14ac:dyDescent="0.2">
      <c r="A346">
        <v>31</v>
      </c>
      <c r="B346">
        <v>1475</v>
      </c>
      <c r="C346">
        <v>142</v>
      </c>
      <c r="D346">
        <v>0.73299999999999998</v>
      </c>
      <c r="E346" s="3">
        <v>0.123</v>
      </c>
      <c r="F346">
        <v>9.7000000000000003E-2</v>
      </c>
      <c r="G346">
        <v>0.72599999999999998</v>
      </c>
      <c r="H346" s="3">
        <v>0.92200000000000004</v>
      </c>
      <c r="I346" s="3">
        <f t="shared" si="5"/>
        <v>7.7999999999999958E-2</v>
      </c>
      <c r="J346">
        <v>47</v>
      </c>
      <c r="K346">
        <v>4</v>
      </c>
      <c r="L346">
        <v>7.6</v>
      </c>
    </row>
    <row r="347" spans="1:12" x14ac:dyDescent="0.2">
      <c r="A347">
        <v>66</v>
      </c>
      <c r="B347">
        <v>3100</v>
      </c>
      <c r="C347">
        <v>165</v>
      </c>
      <c r="D347">
        <v>0.73299999999999998</v>
      </c>
      <c r="E347" s="3">
        <v>0.13</v>
      </c>
      <c r="F347">
        <v>0.22600000000000001</v>
      </c>
      <c r="G347">
        <v>0.96299999999999997</v>
      </c>
      <c r="H347" s="3">
        <v>0.92800000000000005</v>
      </c>
      <c r="I347" s="3">
        <f t="shared" si="5"/>
        <v>7.1999999999999953E-2</v>
      </c>
      <c r="J347">
        <v>12</v>
      </c>
      <c r="K347">
        <v>1</v>
      </c>
      <c r="L347">
        <v>14.4</v>
      </c>
    </row>
    <row r="348" spans="1:12" x14ac:dyDescent="0.2">
      <c r="A348">
        <v>82</v>
      </c>
      <c r="B348">
        <v>4074</v>
      </c>
      <c r="C348">
        <v>26</v>
      </c>
      <c r="D348">
        <v>0.73299999999999998</v>
      </c>
      <c r="E348" s="3">
        <v>0.02</v>
      </c>
      <c r="F348">
        <v>0.24399999999999999</v>
      </c>
      <c r="G348">
        <v>0.96799999999999997</v>
      </c>
      <c r="H348" s="3">
        <v>0.94399999999999995</v>
      </c>
      <c r="I348" s="3">
        <f t="shared" si="5"/>
        <v>5.600000000000005E-2</v>
      </c>
      <c r="J348">
        <v>6</v>
      </c>
      <c r="K348">
        <v>17</v>
      </c>
      <c r="L348">
        <v>2.2999999999999998</v>
      </c>
    </row>
    <row r="349" spans="1:12" x14ac:dyDescent="0.2">
      <c r="A349">
        <v>93</v>
      </c>
      <c r="B349">
        <v>4568</v>
      </c>
      <c r="C349">
        <v>109</v>
      </c>
      <c r="D349">
        <v>0.73299999999999998</v>
      </c>
      <c r="E349" s="3">
        <v>0.16900000000000001</v>
      </c>
      <c r="F349">
        <v>0.219</v>
      </c>
      <c r="G349">
        <v>0.77300000000000002</v>
      </c>
      <c r="H349" s="3">
        <v>0.97099999999999997</v>
      </c>
      <c r="I349" s="3">
        <f t="shared" si="5"/>
        <v>2.9000000000000026E-2</v>
      </c>
      <c r="J349">
        <v>33</v>
      </c>
      <c r="K349">
        <v>3</v>
      </c>
      <c r="L349">
        <v>14.7</v>
      </c>
    </row>
    <row r="350" spans="1:12" x14ac:dyDescent="0.2">
      <c r="A350">
        <v>42</v>
      </c>
      <c r="B350">
        <v>2043</v>
      </c>
      <c r="C350">
        <v>143</v>
      </c>
      <c r="D350">
        <v>0.73399999999999999</v>
      </c>
      <c r="E350" s="3">
        <v>7.5999999999999998E-2</v>
      </c>
      <c r="F350">
        <v>7.5999999999999998E-2</v>
      </c>
      <c r="G350">
        <v>0.92400000000000004</v>
      </c>
      <c r="H350" s="3">
        <v>0.95499999999999996</v>
      </c>
      <c r="I350" s="3">
        <f t="shared" si="5"/>
        <v>4.500000000000004E-2</v>
      </c>
      <c r="J350">
        <v>67</v>
      </c>
      <c r="K350">
        <v>13</v>
      </c>
      <c r="L350">
        <v>6.9</v>
      </c>
    </row>
    <row r="351" spans="1:12" x14ac:dyDescent="0.2">
      <c r="A351">
        <v>72</v>
      </c>
      <c r="B351">
        <v>3456</v>
      </c>
      <c r="C351">
        <v>188</v>
      </c>
      <c r="D351">
        <v>0.73399999999999999</v>
      </c>
      <c r="E351" s="3">
        <v>0.11899999999999999</v>
      </c>
      <c r="F351">
        <v>0.16700000000000001</v>
      </c>
      <c r="G351">
        <v>0.97399999999999998</v>
      </c>
      <c r="H351" s="3">
        <v>0.91200000000000003</v>
      </c>
      <c r="I351" s="3">
        <f t="shared" si="5"/>
        <v>8.7999999999999967E-2</v>
      </c>
      <c r="J351">
        <v>86</v>
      </c>
      <c r="K351">
        <v>17</v>
      </c>
      <c r="L351">
        <v>2.1</v>
      </c>
    </row>
    <row r="352" spans="1:12" x14ac:dyDescent="0.2">
      <c r="A352">
        <v>85</v>
      </c>
      <c r="B352">
        <v>3988</v>
      </c>
      <c r="C352">
        <v>19</v>
      </c>
      <c r="D352">
        <v>0.73399999999999999</v>
      </c>
      <c r="E352" s="3">
        <v>5.5E-2</v>
      </c>
      <c r="F352">
        <v>0.114</v>
      </c>
      <c r="G352">
        <v>0.88400000000000001</v>
      </c>
      <c r="H352" s="3">
        <v>0.92500000000000004</v>
      </c>
      <c r="I352" s="3">
        <f t="shared" si="5"/>
        <v>7.4999999999999956E-2</v>
      </c>
      <c r="J352">
        <v>97</v>
      </c>
      <c r="K352">
        <v>6</v>
      </c>
      <c r="L352">
        <v>8.6</v>
      </c>
    </row>
    <row r="353" spans="1:12" x14ac:dyDescent="0.2">
      <c r="A353">
        <v>49</v>
      </c>
      <c r="B353">
        <v>2307</v>
      </c>
      <c r="C353">
        <v>181</v>
      </c>
      <c r="D353">
        <v>0.73499999999999999</v>
      </c>
      <c r="E353" s="3">
        <v>9.4E-2</v>
      </c>
      <c r="F353">
        <v>0.23899999999999999</v>
      </c>
      <c r="G353">
        <v>0.86299999999999999</v>
      </c>
      <c r="H353" s="3">
        <v>0.99299999999999999</v>
      </c>
      <c r="I353" s="3">
        <f t="shared" si="5"/>
        <v>7.0000000000000062E-3</v>
      </c>
      <c r="J353">
        <v>66</v>
      </c>
      <c r="K353">
        <v>17</v>
      </c>
      <c r="L353">
        <v>1.4</v>
      </c>
    </row>
    <row r="354" spans="1:12" x14ac:dyDescent="0.2">
      <c r="A354">
        <v>65</v>
      </c>
      <c r="B354">
        <v>3078</v>
      </c>
      <c r="C354">
        <v>188</v>
      </c>
      <c r="D354">
        <v>0.73499999999999999</v>
      </c>
      <c r="E354" s="3">
        <v>8.1000000000000003E-2</v>
      </c>
      <c r="F354">
        <v>0.217</v>
      </c>
      <c r="G354">
        <v>0.96399999999999997</v>
      </c>
      <c r="H354" s="3">
        <v>0.91200000000000003</v>
      </c>
      <c r="I354" s="3">
        <f t="shared" si="5"/>
        <v>8.7999999999999967E-2</v>
      </c>
      <c r="J354">
        <v>84</v>
      </c>
      <c r="K354">
        <v>4</v>
      </c>
      <c r="L354">
        <v>13.1</v>
      </c>
    </row>
    <row r="355" spans="1:12" x14ac:dyDescent="0.2">
      <c r="A355">
        <v>69</v>
      </c>
      <c r="B355">
        <v>3324</v>
      </c>
      <c r="C355">
        <v>55</v>
      </c>
      <c r="D355">
        <v>0.73499999999999999</v>
      </c>
      <c r="E355" s="3">
        <v>2.8000000000000001E-2</v>
      </c>
      <c r="F355">
        <v>0.29199999999999998</v>
      </c>
      <c r="G355">
        <v>0.97499999999999998</v>
      </c>
      <c r="H355" s="3">
        <v>0.90700000000000003</v>
      </c>
      <c r="I355" s="3">
        <f t="shared" si="5"/>
        <v>9.2999999999999972E-2</v>
      </c>
      <c r="J355">
        <v>30</v>
      </c>
      <c r="K355">
        <v>7</v>
      </c>
      <c r="L355">
        <v>6.1</v>
      </c>
    </row>
    <row r="356" spans="1:12" x14ac:dyDescent="0.2">
      <c r="A356">
        <v>100</v>
      </c>
      <c r="B356">
        <v>4752</v>
      </c>
      <c r="C356">
        <v>79</v>
      </c>
      <c r="D356">
        <v>0.73599999999999999</v>
      </c>
      <c r="E356" s="3">
        <v>0.192</v>
      </c>
      <c r="F356">
        <v>0.29499999999999998</v>
      </c>
      <c r="G356">
        <v>0.82399999999999995</v>
      </c>
      <c r="H356" s="3">
        <v>0.98499999999999999</v>
      </c>
      <c r="I356" s="3">
        <f t="shared" si="5"/>
        <v>1.5000000000000013E-2</v>
      </c>
      <c r="J356">
        <v>24</v>
      </c>
      <c r="K356">
        <v>15</v>
      </c>
      <c r="L356">
        <v>6.6</v>
      </c>
    </row>
    <row r="357" spans="1:12" x14ac:dyDescent="0.2">
      <c r="A357">
        <v>101</v>
      </c>
      <c r="B357">
        <v>4929</v>
      </c>
      <c r="C357">
        <v>159</v>
      </c>
      <c r="D357">
        <v>0.73599999999999999</v>
      </c>
      <c r="E357" s="3">
        <v>0.05</v>
      </c>
      <c r="F357">
        <v>0.188</v>
      </c>
      <c r="G357">
        <v>0.76100000000000001</v>
      </c>
      <c r="H357" s="3">
        <v>0.94499999999999995</v>
      </c>
      <c r="I357" s="3">
        <f t="shared" si="5"/>
        <v>5.5000000000000049E-2</v>
      </c>
      <c r="J357">
        <v>46</v>
      </c>
      <c r="K357">
        <v>2</v>
      </c>
      <c r="L357">
        <v>6.4</v>
      </c>
    </row>
    <row r="358" spans="1:12" x14ac:dyDescent="0.2">
      <c r="A358">
        <v>26</v>
      </c>
      <c r="B358">
        <v>1112</v>
      </c>
      <c r="C358">
        <v>159</v>
      </c>
      <c r="D358">
        <v>0.73699999999999999</v>
      </c>
      <c r="E358" s="3">
        <v>6.4000000000000001E-2</v>
      </c>
      <c r="F358">
        <v>0.26100000000000001</v>
      </c>
      <c r="G358">
        <v>0.84</v>
      </c>
      <c r="H358" s="3">
        <v>0.93500000000000005</v>
      </c>
      <c r="I358" s="3">
        <f t="shared" si="5"/>
        <v>6.4999999999999947E-2</v>
      </c>
      <c r="J358">
        <v>71</v>
      </c>
      <c r="K358">
        <v>4</v>
      </c>
      <c r="L358">
        <v>7.6</v>
      </c>
    </row>
    <row r="359" spans="1:12" x14ac:dyDescent="0.2">
      <c r="A359">
        <v>99</v>
      </c>
      <c r="B359">
        <v>4807</v>
      </c>
      <c r="C359">
        <v>135</v>
      </c>
      <c r="D359">
        <v>0.73699999999999999</v>
      </c>
      <c r="E359" s="3">
        <v>0.17399999999999999</v>
      </c>
      <c r="F359">
        <v>9.7000000000000003E-2</v>
      </c>
      <c r="G359">
        <v>0.85199999999999998</v>
      </c>
      <c r="H359" s="3">
        <v>0.997</v>
      </c>
      <c r="I359" s="3">
        <f t="shared" si="5"/>
        <v>3.0000000000000027E-3</v>
      </c>
      <c r="J359">
        <v>26</v>
      </c>
      <c r="K359">
        <v>13</v>
      </c>
      <c r="L359">
        <v>14.7</v>
      </c>
    </row>
    <row r="360" spans="1:12" x14ac:dyDescent="0.2">
      <c r="A360">
        <v>46</v>
      </c>
      <c r="B360">
        <v>2098</v>
      </c>
      <c r="C360">
        <v>172</v>
      </c>
      <c r="D360">
        <v>0.73799999999999999</v>
      </c>
      <c r="E360" s="3">
        <v>3.7999999999999999E-2</v>
      </c>
      <c r="F360">
        <v>8.5999999999999993E-2</v>
      </c>
      <c r="G360">
        <v>0.88200000000000001</v>
      </c>
      <c r="H360" s="3">
        <v>0.94099999999999995</v>
      </c>
      <c r="I360" s="3">
        <f t="shared" si="5"/>
        <v>5.9000000000000052E-2</v>
      </c>
      <c r="J360">
        <v>25</v>
      </c>
      <c r="K360">
        <v>0</v>
      </c>
      <c r="L360">
        <v>2.8</v>
      </c>
    </row>
    <row r="361" spans="1:12" x14ac:dyDescent="0.2">
      <c r="A361">
        <v>63</v>
      </c>
      <c r="B361">
        <v>3001</v>
      </c>
      <c r="C361">
        <v>34</v>
      </c>
      <c r="D361">
        <v>0.73799999999999999</v>
      </c>
      <c r="E361" s="3">
        <v>0.112</v>
      </c>
      <c r="F361">
        <v>6.8000000000000005E-2</v>
      </c>
      <c r="G361">
        <v>0.77800000000000002</v>
      </c>
      <c r="H361" s="3">
        <v>0.97499999999999998</v>
      </c>
      <c r="I361" s="3">
        <f t="shared" si="5"/>
        <v>2.5000000000000022E-2</v>
      </c>
      <c r="J361">
        <v>71</v>
      </c>
      <c r="K361">
        <v>0</v>
      </c>
      <c r="L361">
        <v>5.7</v>
      </c>
    </row>
    <row r="362" spans="1:12" x14ac:dyDescent="0.2">
      <c r="A362">
        <v>67</v>
      </c>
      <c r="B362">
        <v>3092</v>
      </c>
      <c r="C362">
        <v>132</v>
      </c>
      <c r="D362">
        <v>0.73799999999999999</v>
      </c>
      <c r="E362" s="3">
        <v>0.13100000000000001</v>
      </c>
      <c r="F362">
        <v>0.161</v>
      </c>
      <c r="G362">
        <v>0.78800000000000003</v>
      </c>
      <c r="H362" s="3">
        <v>0.996</v>
      </c>
      <c r="I362" s="3">
        <f t="shared" si="5"/>
        <v>4.0000000000000036E-3</v>
      </c>
      <c r="J362">
        <v>31</v>
      </c>
      <c r="K362">
        <v>4</v>
      </c>
      <c r="L362">
        <v>4.9000000000000004</v>
      </c>
    </row>
    <row r="363" spans="1:12" x14ac:dyDescent="0.2">
      <c r="A363">
        <v>75</v>
      </c>
      <c r="B363">
        <v>3611</v>
      </c>
      <c r="C363">
        <v>22</v>
      </c>
      <c r="D363">
        <v>0.73799999999999999</v>
      </c>
      <c r="E363" s="3">
        <v>8.8999999999999996E-2</v>
      </c>
      <c r="F363">
        <v>0.25900000000000001</v>
      </c>
      <c r="G363">
        <v>0.90900000000000003</v>
      </c>
      <c r="H363" s="3">
        <v>0.96099999999999997</v>
      </c>
      <c r="I363" s="3">
        <f t="shared" si="5"/>
        <v>3.9000000000000035E-2</v>
      </c>
      <c r="J363">
        <v>87</v>
      </c>
      <c r="K363">
        <v>1</v>
      </c>
      <c r="L363">
        <v>2.2999999999999998</v>
      </c>
    </row>
    <row r="364" spans="1:12" x14ac:dyDescent="0.2">
      <c r="A364">
        <v>89</v>
      </c>
      <c r="B364">
        <v>4374</v>
      </c>
      <c r="C364">
        <v>59</v>
      </c>
      <c r="D364">
        <v>0.73799999999999999</v>
      </c>
      <c r="E364" s="3">
        <v>0.13600000000000001</v>
      </c>
      <c r="F364">
        <v>0.14599999999999999</v>
      </c>
      <c r="G364">
        <v>0.97899999999999998</v>
      </c>
      <c r="H364" s="3">
        <v>0.95099999999999996</v>
      </c>
      <c r="I364" s="3">
        <f t="shared" si="5"/>
        <v>4.9000000000000044E-2</v>
      </c>
      <c r="J364">
        <v>53</v>
      </c>
      <c r="K364">
        <v>18</v>
      </c>
      <c r="L364">
        <v>11.9</v>
      </c>
    </row>
    <row r="365" spans="1:12" x14ac:dyDescent="0.2">
      <c r="A365">
        <v>37</v>
      </c>
      <c r="B365">
        <v>1708</v>
      </c>
      <c r="C365">
        <v>26</v>
      </c>
      <c r="D365">
        <v>0.73899999999999999</v>
      </c>
      <c r="E365" s="3">
        <v>0.14299999999999999</v>
      </c>
      <c r="F365">
        <v>0.29199999999999998</v>
      </c>
      <c r="G365">
        <v>0.84899999999999998</v>
      </c>
      <c r="H365" s="3">
        <v>0.91700000000000004</v>
      </c>
      <c r="I365" s="3">
        <f t="shared" si="5"/>
        <v>8.2999999999999963E-2</v>
      </c>
      <c r="J365">
        <v>70</v>
      </c>
      <c r="K365">
        <v>15</v>
      </c>
      <c r="L365">
        <v>4.8</v>
      </c>
    </row>
    <row r="366" spans="1:12" x14ac:dyDescent="0.2">
      <c r="A366">
        <v>64</v>
      </c>
      <c r="B366">
        <v>3151</v>
      </c>
      <c r="C366">
        <v>182</v>
      </c>
      <c r="D366">
        <v>0.73899999999999999</v>
      </c>
      <c r="E366" s="3">
        <v>0.154</v>
      </c>
      <c r="F366">
        <v>6.6000000000000003E-2</v>
      </c>
      <c r="G366">
        <v>0.95799999999999996</v>
      </c>
      <c r="H366" s="3">
        <v>0.99299999999999999</v>
      </c>
      <c r="I366" s="3">
        <f t="shared" si="5"/>
        <v>7.0000000000000062E-3</v>
      </c>
      <c r="J366">
        <v>7</v>
      </c>
      <c r="K366">
        <v>16</v>
      </c>
      <c r="L366">
        <v>7.6</v>
      </c>
    </row>
    <row r="367" spans="1:12" x14ac:dyDescent="0.2">
      <c r="A367">
        <v>23</v>
      </c>
      <c r="B367">
        <v>1018</v>
      </c>
      <c r="C367">
        <v>19</v>
      </c>
      <c r="D367">
        <v>0.74</v>
      </c>
      <c r="E367" s="3">
        <v>0.183</v>
      </c>
      <c r="F367">
        <v>0.08</v>
      </c>
      <c r="G367">
        <v>0.76800000000000002</v>
      </c>
      <c r="H367" s="3">
        <v>0.92500000000000004</v>
      </c>
      <c r="I367" s="3">
        <f t="shared" si="5"/>
        <v>7.4999999999999956E-2</v>
      </c>
      <c r="J367">
        <v>64</v>
      </c>
      <c r="K367">
        <v>12</v>
      </c>
      <c r="L367">
        <v>10.4</v>
      </c>
    </row>
    <row r="368" spans="1:12" x14ac:dyDescent="0.2">
      <c r="A368">
        <v>43</v>
      </c>
      <c r="B368">
        <v>1946</v>
      </c>
      <c r="C368">
        <v>166</v>
      </c>
      <c r="D368">
        <v>0.74</v>
      </c>
      <c r="E368" s="3">
        <v>0.14199999999999999</v>
      </c>
      <c r="F368">
        <v>7.9000000000000001E-2</v>
      </c>
      <c r="G368">
        <v>0.70399999999999996</v>
      </c>
      <c r="H368" s="3">
        <v>0.96399999999999997</v>
      </c>
      <c r="I368" s="3">
        <f t="shared" si="5"/>
        <v>3.6000000000000032E-2</v>
      </c>
      <c r="J368">
        <v>78</v>
      </c>
      <c r="K368">
        <v>11</v>
      </c>
      <c r="L368">
        <v>1.4</v>
      </c>
    </row>
    <row r="369" spans="1:12" x14ac:dyDescent="0.2">
      <c r="A369">
        <v>53</v>
      </c>
      <c r="B369">
        <v>2594</v>
      </c>
      <c r="C369">
        <v>103</v>
      </c>
      <c r="D369">
        <v>0.74</v>
      </c>
      <c r="E369" s="3">
        <v>0.14299999999999999</v>
      </c>
      <c r="F369">
        <v>0.189</v>
      </c>
      <c r="G369">
        <v>0.71299999999999997</v>
      </c>
      <c r="H369" s="3">
        <v>0.97899999999999998</v>
      </c>
      <c r="I369" s="3">
        <f t="shared" si="5"/>
        <v>2.1000000000000019E-2</v>
      </c>
      <c r="J369">
        <v>20</v>
      </c>
      <c r="K369">
        <v>13</v>
      </c>
      <c r="L369">
        <v>3.6</v>
      </c>
    </row>
    <row r="370" spans="1:12" x14ac:dyDescent="0.2">
      <c r="A370">
        <v>76</v>
      </c>
      <c r="B370">
        <v>3660</v>
      </c>
      <c r="C370">
        <v>102</v>
      </c>
      <c r="D370">
        <v>0.74</v>
      </c>
      <c r="E370" s="3">
        <v>5.7000000000000002E-2</v>
      </c>
      <c r="F370">
        <v>0.26800000000000002</v>
      </c>
      <c r="G370">
        <v>0.81699999999999995</v>
      </c>
      <c r="H370" s="3">
        <v>0.95299999999999996</v>
      </c>
      <c r="I370" s="3">
        <f t="shared" si="5"/>
        <v>4.7000000000000042E-2</v>
      </c>
      <c r="J370">
        <v>48</v>
      </c>
      <c r="K370">
        <v>1</v>
      </c>
      <c r="L370">
        <v>1.8</v>
      </c>
    </row>
    <row r="371" spans="1:12" x14ac:dyDescent="0.2">
      <c r="A371">
        <v>80</v>
      </c>
      <c r="B371">
        <v>3738</v>
      </c>
      <c r="C371">
        <v>89</v>
      </c>
      <c r="D371">
        <v>0.74099999999999999</v>
      </c>
      <c r="E371" s="3">
        <v>0.158</v>
      </c>
      <c r="F371">
        <v>0.18</v>
      </c>
      <c r="G371">
        <v>0.85499999999999998</v>
      </c>
      <c r="H371" s="3">
        <v>0.97499999999999998</v>
      </c>
      <c r="I371" s="3">
        <f t="shared" si="5"/>
        <v>2.5000000000000022E-2</v>
      </c>
      <c r="J371">
        <v>46</v>
      </c>
      <c r="K371">
        <v>11</v>
      </c>
      <c r="L371">
        <v>12.7</v>
      </c>
    </row>
    <row r="372" spans="1:12" x14ac:dyDescent="0.2">
      <c r="A372">
        <v>96</v>
      </c>
      <c r="B372">
        <v>4559</v>
      </c>
      <c r="C372">
        <v>188</v>
      </c>
      <c r="D372">
        <v>0.74099999999999999</v>
      </c>
      <c r="E372" s="3">
        <v>6.5000000000000002E-2</v>
      </c>
      <c r="F372">
        <v>0.161</v>
      </c>
      <c r="G372">
        <v>0.85099999999999998</v>
      </c>
      <c r="H372" s="3">
        <v>0.93799999999999994</v>
      </c>
      <c r="I372" s="3">
        <f t="shared" si="5"/>
        <v>6.2000000000000055E-2</v>
      </c>
      <c r="J372">
        <v>78</v>
      </c>
      <c r="K372">
        <v>17</v>
      </c>
      <c r="L372">
        <v>6.6</v>
      </c>
    </row>
    <row r="373" spans="1:12" x14ac:dyDescent="0.2">
      <c r="A373">
        <v>104</v>
      </c>
      <c r="B373">
        <v>4947</v>
      </c>
      <c r="C373">
        <v>169</v>
      </c>
      <c r="D373">
        <v>0.74099999999999999</v>
      </c>
      <c r="E373" s="3">
        <v>3.3000000000000002E-2</v>
      </c>
      <c r="F373">
        <v>7.4999999999999997E-2</v>
      </c>
      <c r="G373">
        <v>0.74399999999999999</v>
      </c>
      <c r="H373" s="3">
        <v>0.98</v>
      </c>
      <c r="I373" s="3">
        <f t="shared" si="5"/>
        <v>2.0000000000000018E-2</v>
      </c>
      <c r="J373">
        <v>77</v>
      </c>
      <c r="K373">
        <v>17</v>
      </c>
      <c r="L373">
        <v>7.1</v>
      </c>
    </row>
    <row r="374" spans="1:12" x14ac:dyDescent="0.2">
      <c r="A374">
        <v>88</v>
      </c>
      <c r="B374">
        <v>4214</v>
      </c>
      <c r="C374">
        <v>113</v>
      </c>
      <c r="D374">
        <v>0.74199999999999999</v>
      </c>
      <c r="E374" s="3">
        <v>0.121</v>
      </c>
      <c r="F374">
        <v>0.08</v>
      </c>
      <c r="G374">
        <v>0.94899999999999995</v>
      </c>
      <c r="H374" s="3">
        <v>0.93600000000000005</v>
      </c>
      <c r="I374" s="3">
        <f t="shared" si="5"/>
        <v>6.3999999999999946E-2</v>
      </c>
      <c r="J374">
        <v>76</v>
      </c>
      <c r="K374">
        <v>5</v>
      </c>
      <c r="L374">
        <v>3.9</v>
      </c>
    </row>
    <row r="375" spans="1:12" x14ac:dyDescent="0.2">
      <c r="A375">
        <v>66</v>
      </c>
      <c r="B375">
        <v>3217</v>
      </c>
      <c r="C375">
        <v>132</v>
      </c>
      <c r="D375">
        <v>0.74299999999999999</v>
      </c>
      <c r="E375" s="3">
        <v>5.7000000000000002E-2</v>
      </c>
      <c r="F375">
        <v>0.155</v>
      </c>
      <c r="G375">
        <v>0.73</v>
      </c>
      <c r="H375" s="3">
        <v>0.92400000000000004</v>
      </c>
      <c r="I375" s="3">
        <f t="shared" si="5"/>
        <v>7.5999999999999956E-2</v>
      </c>
      <c r="J375">
        <v>89</v>
      </c>
      <c r="K375">
        <v>5</v>
      </c>
      <c r="L375">
        <v>4.5999999999999996</v>
      </c>
    </row>
    <row r="376" spans="1:12" x14ac:dyDescent="0.2">
      <c r="A376">
        <v>63</v>
      </c>
      <c r="B376">
        <v>3037</v>
      </c>
      <c r="C376">
        <v>25</v>
      </c>
      <c r="D376">
        <v>0.745</v>
      </c>
      <c r="E376" s="3">
        <v>8.6999999999999994E-2</v>
      </c>
      <c r="F376">
        <v>0.216</v>
      </c>
      <c r="G376">
        <v>0.96699999999999997</v>
      </c>
      <c r="H376" s="3">
        <v>0.999</v>
      </c>
      <c r="I376" s="3">
        <f t="shared" si="5"/>
        <v>1.0000000000000009E-3</v>
      </c>
      <c r="J376">
        <v>45</v>
      </c>
      <c r="K376">
        <v>12</v>
      </c>
      <c r="L376">
        <v>11.7</v>
      </c>
    </row>
    <row r="377" spans="1:12" x14ac:dyDescent="0.2">
      <c r="A377">
        <v>96</v>
      </c>
      <c r="B377">
        <v>4595</v>
      </c>
      <c r="C377">
        <v>165</v>
      </c>
      <c r="D377">
        <v>0.745</v>
      </c>
      <c r="E377" s="3">
        <v>5.1999999999999998E-2</v>
      </c>
      <c r="F377">
        <v>8.3000000000000004E-2</v>
      </c>
      <c r="G377">
        <v>0.873</v>
      </c>
      <c r="H377" s="3">
        <v>0.98899999999999999</v>
      </c>
      <c r="I377" s="3">
        <f t="shared" si="5"/>
        <v>1.100000000000001E-2</v>
      </c>
      <c r="J377">
        <v>31</v>
      </c>
      <c r="K377">
        <v>2</v>
      </c>
      <c r="L377">
        <v>8.3000000000000007</v>
      </c>
    </row>
    <row r="378" spans="1:12" x14ac:dyDescent="0.2">
      <c r="A378">
        <v>60</v>
      </c>
      <c r="B378">
        <v>2799</v>
      </c>
      <c r="C378">
        <v>93</v>
      </c>
      <c r="D378">
        <v>0.746</v>
      </c>
      <c r="E378" s="3">
        <v>3.3000000000000002E-2</v>
      </c>
      <c r="F378">
        <v>6.2E-2</v>
      </c>
      <c r="G378">
        <v>0.91700000000000004</v>
      </c>
      <c r="H378" s="3">
        <v>0.99099999999999999</v>
      </c>
      <c r="I378" s="3">
        <f t="shared" si="5"/>
        <v>9.000000000000008E-3</v>
      </c>
      <c r="J378">
        <v>62</v>
      </c>
      <c r="K378">
        <v>18</v>
      </c>
      <c r="L378">
        <v>9.4</v>
      </c>
    </row>
    <row r="379" spans="1:12" x14ac:dyDescent="0.2">
      <c r="A379">
        <v>65</v>
      </c>
      <c r="B379">
        <v>3172</v>
      </c>
      <c r="C379">
        <v>120</v>
      </c>
      <c r="D379">
        <v>0.746</v>
      </c>
      <c r="E379" s="3">
        <v>0.10199999999999999</v>
      </c>
      <c r="F379">
        <v>0.255</v>
      </c>
      <c r="G379">
        <v>0.77200000000000002</v>
      </c>
      <c r="H379" s="3">
        <v>0.98899999999999999</v>
      </c>
      <c r="I379" s="3">
        <f t="shared" si="5"/>
        <v>1.100000000000001E-2</v>
      </c>
      <c r="J379">
        <v>10</v>
      </c>
      <c r="K379">
        <v>18</v>
      </c>
      <c r="L379">
        <v>8.4</v>
      </c>
    </row>
    <row r="380" spans="1:12" x14ac:dyDescent="0.2">
      <c r="A380">
        <v>97</v>
      </c>
      <c r="B380">
        <v>4756</v>
      </c>
      <c r="C380">
        <v>24</v>
      </c>
      <c r="D380">
        <v>0.746</v>
      </c>
      <c r="E380" s="3">
        <v>2.3E-2</v>
      </c>
      <c r="F380">
        <v>5.1999999999999998E-2</v>
      </c>
      <c r="G380">
        <v>0.97799999999999998</v>
      </c>
      <c r="H380" s="3">
        <v>0.90100000000000002</v>
      </c>
      <c r="I380" s="3">
        <f t="shared" si="5"/>
        <v>9.8999999999999977E-2</v>
      </c>
      <c r="J380">
        <v>21</v>
      </c>
      <c r="K380">
        <v>18</v>
      </c>
      <c r="L380">
        <v>13.7</v>
      </c>
    </row>
    <row r="381" spans="1:12" x14ac:dyDescent="0.2">
      <c r="A381">
        <v>45</v>
      </c>
      <c r="B381">
        <v>2006</v>
      </c>
      <c r="C381">
        <v>175</v>
      </c>
      <c r="D381">
        <v>0.747</v>
      </c>
      <c r="E381" s="3">
        <v>8.3000000000000004E-2</v>
      </c>
      <c r="F381">
        <v>0.16600000000000001</v>
      </c>
      <c r="G381">
        <v>0.94699999999999995</v>
      </c>
      <c r="H381" s="3">
        <v>0.99099999999999999</v>
      </c>
      <c r="I381" s="3">
        <f t="shared" si="5"/>
        <v>9.000000000000008E-3</v>
      </c>
      <c r="J381">
        <v>94</v>
      </c>
      <c r="K381">
        <v>16</v>
      </c>
      <c r="L381">
        <v>14.6</v>
      </c>
    </row>
    <row r="382" spans="1:12" x14ac:dyDescent="0.2">
      <c r="A382">
        <v>43</v>
      </c>
      <c r="B382">
        <v>1995</v>
      </c>
      <c r="C382">
        <v>130</v>
      </c>
      <c r="D382">
        <v>0.748</v>
      </c>
      <c r="E382" s="3">
        <v>0.193</v>
      </c>
      <c r="F382">
        <v>9.1999999999999998E-2</v>
      </c>
      <c r="G382">
        <v>0.77300000000000002</v>
      </c>
      <c r="H382" s="3">
        <v>0.996</v>
      </c>
      <c r="I382" s="3">
        <f t="shared" si="5"/>
        <v>4.0000000000000036E-3</v>
      </c>
      <c r="J382">
        <v>1</v>
      </c>
      <c r="K382">
        <v>1</v>
      </c>
      <c r="L382">
        <v>11.1</v>
      </c>
    </row>
    <row r="383" spans="1:12" x14ac:dyDescent="0.2">
      <c r="A383">
        <v>87</v>
      </c>
      <c r="B383">
        <v>4302</v>
      </c>
      <c r="C383">
        <v>147</v>
      </c>
      <c r="D383">
        <v>0.748</v>
      </c>
      <c r="E383" s="3">
        <v>0.10199999999999999</v>
      </c>
      <c r="F383">
        <v>0.186</v>
      </c>
      <c r="G383">
        <v>0.75800000000000001</v>
      </c>
      <c r="H383" s="3">
        <v>0.92200000000000004</v>
      </c>
      <c r="I383" s="3">
        <f t="shared" si="5"/>
        <v>7.7999999999999958E-2</v>
      </c>
      <c r="J383">
        <v>8</v>
      </c>
      <c r="K383">
        <v>12</v>
      </c>
      <c r="L383">
        <v>14</v>
      </c>
    </row>
    <row r="384" spans="1:12" x14ac:dyDescent="0.2">
      <c r="A384">
        <v>98</v>
      </c>
      <c r="B384">
        <v>4805</v>
      </c>
      <c r="C384">
        <v>12</v>
      </c>
      <c r="D384">
        <v>0.748</v>
      </c>
      <c r="E384" s="3">
        <v>9.9000000000000005E-2</v>
      </c>
      <c r="F384">
        <v>0.14299999999999999</v>
      </c>
      <c r="G384">
        <v>0.90300000000000002</v>
      </c>
      <c r="H384" s="3">
        <v>0.94799999999999995</v>
      </c>
      <c r="I384" s="3">
        <f t="shared" si="5"/>
        <v>5.2000000000000046E-2</v>
      </c>
      <c r="J384">
        <v>87</v>
      </c>
      <c r="K384">
        <v>7</v>
      </c>
      <c r="L384">
        <v>13.2</v>
      </c>
    </row>
    <row r="385" spans="1:12" x14ac:dyDescent="0.2">
      <c r="A385">
        <v>25</v>
      </c>
      <c r="B385">
        <v>1186</v>
      </c>
      <c r="C385">
        <v>41</v>
      </c>
      <c r="D385">
        <v>0.749</v>
      </c>
      <c r="E385" s="3">
        <v>0.12</v>
      </c>
      <c r="F385">
        <v>0.23499999999999999</v>
      </c>
      <c r="G385">
        <v>0.85299999999999998</v>
      </c>
      <c r="H385" s="3">
        <v>0.91700000000000004</v>
      </c>
      <c r="I385" s="3">
        <f t="shared" si="5"/>
        <v>8.2999999999999963E-2</v>
      </c>
      <c r="J385">
        <v>23</v>
      </c>
      <c r="K385">
        <v>7</v>
      </c>
      <c r="L385">
        <v>14.4</v>
      </c>
    </row>
    <row r="386" spans="1:12" x14ac:dyDescent="0.2">
      <c r="A386">
        <v>54</v>
      </c>
      <c r="B386">
        <v>2624</v>
      </c>
      <c r="C386">
        <v>195</v>
      </c>
      <c r="D386">
        <v>0.749</v>
      </c>
      <c r="E386" s="3">
        <v>0.183</v>
      </c>
      <c r="F386">
        <v>0.16500000000000001</v>
      </c>
      <c r="G386">
        <v>0.89</v>
      </c>
      <c r="H386" s="3">
        <v>0.94599999999999995</v>
      </c>
      <c r="I386" s="3">
        <f t="shared" si="5"/>
        <v>5.4000000000000048E-2</v>
      </c>
      <c r="J386">
        <v>91</v>
      </c>
      <c r="K386">
        <v>11</v>
      </c>
      <c r="L386">
        <v>11.1</v>
      </c>
    </row>
    <row r="387" spans="1:12" x14ac:dyDescent="0.2">
      <c r="A387">
        <v>64</v>
      </c>
      <c r="B387">
        <v>3048</v>
      </c>
      <c r="C387">
        <v>37</v>
      </c>
      <c r="D387">
        <v>0.749</v>
      </c>
      <c r="E387" s="3">
        <v>0.161</v>
      </c>
      <c r="F387">
        <v>0.29899999999999999</v>
      </c>
      <c r="G387">
        <v>0.97</v>
      </c>
      <c r="H387" s="3">
        <v>0.92</v>
      </c>
      <c r="I387" s="3">
        <f t="shared" ref="I387:I450" si="6">1-H387</f>
        <v>7.999999999999996E-2</v>
      </c>
      <c r="J387">
        <v>23</v>
      </c>
      <c r="K387">
        <v>15</v>
      </c>
      <c r="L387">
        <v>9.6999999999999993</v>
      </c>
    </row>
    <row r="388" spans="1:12" x14ac:dyDescent="0.2">
      <c r="A388">
        <v>85</v>
      </c>
      <c r="B388">
        <v>4064</v>
      </c>
      <c r="C388">
        <v>186</v>
      </c>
      <c r="D388">
        <v>0.749</v>
      </c>
      <c r="E388" s="3">
        <v>0.19400000000000001</v>
      </c>
      <c r="F388">
        <v>0.111</v>
      </c>
      <c r="G388">
        <v>0.80200000000000005</v>
      </c>
      <c r="H388" s="3">
        <v>0.97799999999999998</v>
      </c>
      <c r="I388" s="3">
        <f t="shared" si="6"/>
        <v>2.200000000000002E-2</v>
      </c>
      <c r="J388">
        <v>9</v>
      </c>
      <c r="K388">
        <v>18</v>
      </c>
      <c r="L388">
        <v>14.4</v>
      </c>
    </row>
    <row r="389" spans="1:12" x14ac:dyDescent="0.2">
      <c r="A389">
        <v>101</v>
      </c>
      <c r="B389">
        <v>4947</v>
      </c>
      <c r="C389">
        <v>187</v>
      </c>
      <c r="D389">
        <v>0.749</v>
      </c>
      <c r="E389" s="3">
        <v>7.0999999999999994E-2</v>
      </c>
      <c r="F389">
        <v>0.17799999999999999</v>
      </c>
      <c r="G389">
        <v>0.751</v>
      </c>
      <c r="H389" s="3">
        <v>0.95</v>
      </c>
      <c r="I389" s="3">
        <f t="shared" si="6"/>
        <v>5.0000000000000044E-2</v>
      </c>
      <c r="J389">
        <v>59</v>
      </c>
      <c r="K389">
        <v>4</v>
      </c>
      <c r="L389">
        <v>4.9000000000000004</v>
      </c>
    </row>
    <row r="390" spans="1:12" x14ac:dyDescent="0.2">
      <c r="A390">
        <v>28</v>
      </c>
      <c r="B390">
        <v>1140</v>
      </c>
      <c r="C390">
        <v>77</v>
      </c>
      <c r="D390">
        <v>0.75</v>
      </c>
      <c r="E390" s="3">
        <v>0.04</v>
      </c>
      <c r="F390">
        <v>0.158</v>
      </c>
      <c r="G390">
        <v>0.96599999999999997</v>
      </c>
      <c r="H390" s="3">
        <v>0.98699999999999999</v>
      </c>
      <c r="I390" s="3">
        <f t="shared" si="6"/>
        <v>1.3000000000000012E-2</v>
      </c>
      <c r="J390">
        <v>2</v>
      </c>
      <c r="K390">
        <v>13</v>
      </c>
      <c r="L390">
        <v>7</v>
      </c>
    </row>
    <row r="391" spans="1:12" x14ac:dyDescent="0.2">
      <c r="A391">
        <v>55</v>
      </c>
      <c r="B391">
        <v>2592</v>
      </c>
      <c r="C391">
        <v>83</v>
      </c>
      <c r="D391">
        <v>0.751</v>
      </c>
      <c r="E391" s="3">
        <v>0.02</v>
      </c>
      <c r="F391">
        <v>0.29399999999999998</v>
      </c>
      <c r="G391">
        <v>0.7</v>
      </c>
      <c r="H391" s="3">
        <v>0.90200000000000002</v>
      </c>
      <c r="I391" s="3">
        <f t="shared" si="6"/>
        <v>9.7999999999999976E-2</v>
      </c>
      <c r="J391">
        <v>91</v>
      </c>
      <c r="K391">
        <v>19</v>
      </c>
      <c r="L391">
        <v>2.6</v>
      </c>
    </row>
    <row r="392" spans="1:12" x14ac:dyDescent="0.2">
      <c r="A392">
        <v>57</v>
      </c>
      <c r="B392">
        <v>2629</v>
      </c>
      <c r="C392">
        <v>122</v>
      </c>
      <c r="D392">
        <v>0.751</v>
      </c>
      <c r="E392" s="3">
        <v>7.5999999999999998E-2</v>
      </c>
      <c r="F392">
        <v>0.13500000000000001</v>
      </c>
      <c r="G392">
        <v>0.88400000000000001</v>
      </c>
      <c r="H392" s="3">
        <v>0.94299999999999995</v>
      </c>
      <c r="I392" s="3">
        <f t="shared" si="6"/>
        <v>5.7000000000000051E-2</v>
      </c>
      <c r="J392">
        <v>24</v>
      </c>
      <c r="K392">
        <v>14</v>
      </c>
      <c r="L392">
        <v>10.8</v>
      </c>
    </row>
    <row r="393" spans="1:12" x14ac:dyDescent="0.2">
      <c r="A393">
        <v>98</v>
      </c>
      <c r="B393">
        <v>4735</v>
      </c>
      <c r="C393">
        <v>156</v>
      </c>
      <c r="D393">
        <v>0.751</v>
      </c>
      <c r="E393" s="3">
        <v>1.2E-2</v>
      </c>
      <c r="F393">
        <v>0.27800000000000002</v>
      </c>
      <c r="G393">
        <v>0.80200000000000005</v>
      </c>
      <c r="H393" s="3">
        <v>0.93100000000000005</v>
      </c>
      <c r="I393" s="3">
        <f t="shared" si="6"/>
        <v>6.899999999999995E-2</v>
      </c>
      <c r="J393">
        <v>34</v>
      </c>
      <c r="K393">
        <v>9</v>
      </c>
      <c r="L393">
        <v>7.4</v>
      </c>
    </row>
    <row r="394" spans="1:12" x14ac:dyDescent="0.2">
      <c r="A394">
        <v>58</v>
      </c>
      <c r="B394">
        <v>2697</v>
      </c>
      <c r="C394">
        <v>73</v>
      </c>
      <c r="D394">
        <v>0.752</v>
      </c>
      <c r="E394" s="3">
        <v>0.19700000000000001</v>
      </c>
      <c r="F394">
        <v>0.17199999999999999</v>
      </c>
      <c r="G394">
        <v>0.71499999999999997</v>
      </c>
      <c r="H394" s="3">
        <v>0.93600000000000005</v>
      </c>
      <c r="I394" s="3">
        <f t="shared" si="6"/>
        <v>6.3999999999999946E-2</v>
      </c>
      <c r="J394">
        <v>95</v>
      </c>
      <c r="K394">
        <v>3</v>
      </c>
      <c r="L394">
        <v>11.5</v>
      </c>
    </row>
    <row r="395" spans="1:12" x14ac:dyDescent="0.2">
      <c r="A395">
        <v>54</v>
      </c>
      <c r="B395">
        <v>2434</v>
      </c>
      <c r="C395">
        <v>98</v>
      </c>
      <c r="D395">
        <v>0.753</v>
      </c>
      <c r="E395" s="3">
        <v>9.0999999999999998E-2</v>
      </c>
      <c r="F395">
        <v>0.16800000000000001</v>
      </c>
      <c r="G395">
        <v>0.82099999999999995</v>
      </c>
      <c r="H395" s="3">
        <v>0.98599999999999999</v>
      </c>
      <c r="I395" s="3">
        <f t="shared" si="6"/>
        <v>1.4000000000000012E-2</v>
      </c>
      <c r="J395">
        <v>48</v>
      </c>
      <c r="K395">
        <v>1</v>
      </c>
      <c r="L395">
        <v>6.8</v>
      </c>
    </row>
    <row r="396" spans="1:12" x14ac:dyDescent="0.2">
      <c r="A396">
        <v>58</v>
      </c>
      <c r="B396">
        <v>2696</v>
      </c>
      <c r="C396">
        <v>79</v>
      </c>
      <c r="D396">
        <v>0.753</v>
      </c>
      <c r="E396" s="3">
        <v>7.4999999999999997E-2</v>
      </c>
      <c r="F396">
        <v>9.9000000000000005E-2</v>
      </c>
      <c r="G396">
        <v>0.876</v>
      </c>
      <c r="H396" s="3">
        <v>0.90300000000000002</v>
      </c>
      <c r="I396" s="3">
        <f t="shared" si="6"/>
        <v>9.6999999999999975E-2</v>
      </c>
      <c r="J396">
        <v>50</v>
      </c>
      <c r="K396">
        <v>4</v>
      </c>
      <c r="L396">
        <v>6.5</v>
      </c>
    </row>
    <row r="397" spans="1:12" x14ac:dyDescent="0.2">
      <c r="A397">
        <v>67</v>
      </c>
      <c r="B397">
        <v>3265</v>
      </c>
      <c r="C397">
        <v>15</v>
      </c>
      <c r="D397">
        <v>0.753</v>
      </c>
      <c r="E397" s="3">
        <v>0.14399999999999999</v>
      </c>
      <c r="F397">
        <v>0.254</v>
      </c>
      <c r="G397">
        <v>0.93400000000000005</v>
      </c>
      <c r="H397" s="3">
        <v>0.94399999999999995</v>
      </c>
      <c r="I397" s="3">
        <f t="shared" si="6"/>
        <v>5.600000000000005E-2</v>
      </c>
      <c r="J397">
        <v>92</v>
      </c>
      <c r="K397">
        <v>16</v>
      </c>
      <c r="L397">
        <v>6.2</v>
      </c>
    </row>
    <row r="398" spans="1:12" x14ac:dyDescent="0.2">
      <c r="A398">
        <v>71</v>
      </c>
      <c r="B398">
        <v>3307</v>
      </c>
      <c r="C398">
        <v>116</v>
      </c>
      <c r="D398">
        <v>0.753</v>
      </c>
      <c r="E398" s="3">
        <v>7.9000000000000001E-2</v>
      </c>
      <c r="F398">
        <v>0.27</v>
      </c>
      <c r="G398">
        <v>0.71399999999999997</v>
      </c>
      <c r="H398" s="3">
        <v>0.91600000000000004</v>
      </c>
      <c r="I398" s="3">
        <f t="shared" si="6"/>
        <v>8.3999999999999964E-2</v>
      </c>
      <c r="J398">
        <v>44</v>
      </c>
      <c r="K398">
        <v>12</v>
      </c>
      <c r="L398">
        <v>13.5</v>
      </c>
    </row>
    <row r="399" spans="1:12" x14ac:dyDescent="0.2">
      <c r="A399">
        <v>72</v>
      </c>
      <c r="B399">
        <v>3556</v>
      </c>
      <c r="C399">
        <v>177</v>
      </c>
      <c r="D399">
        <v>0.753</v>
      </c>
      <c r="E399" s="3">
        <v>0.13</v>
      </c>
      <c r="F399">
        <v>9.4E-2</v>
      </c>
      <c r="G399">
        <v>0.85299999999999998</v>
      </c>
      <c r="H399" s="3">
        <v>0.90500000000000003</v>
      </c>
      <c r="I399" s="3">
        <f t="shared" si="6"/>
        <v>9.4999999999999973E-2</v>
      </c>
      <c r="J399">
        <v>12</v>
      </c>
      <c r="K399">
        <v>16</v>
      </c>
      <c r="L399">
        <v>12.5</v>
      </c>
    </row>
    <row r="400" spans="1:12" x14ac:dyDescent="0.2">
      <c r="A400">
        <v>97</v>
      </c>
      <c r="B400">
        <v>4662</v>
      </c>
      <c r="C400">
        <v>138</v>
      </c>
      <c r="D400">
        <v>0.753</v>
      </c>
      <c r="E400" s="3">
        <v>4.9000000000000002E-2</v>
      </c>
      <c r="F400">
        <v>0.28699999999999998</v>
      </c>
      <c r="G400">
        <v>0.81599999999999995</v>
      </c>
      <c r="H400" s="3">
        <v>0.93100000000000005</v>
      </c>
      <c r="I400" s="3">
        <f t="shared" si="6"/>
        <v>6.899999999999995E-2</v>
      </c>
      <c r="J400">
        <v>74</v>
      </c>
      <c r="K400">
        <v>8</v>
      </c>
      <c r="L400">
        <v>9.3000000000000007</v>
      </c>
    </row>
    <row r="401" spans="1:12" x14ac:dyDescent="0.2">
      <c r="A401">
        <v>98</v>
      </c>
      <c r="B401">
        <v>4824</v>
      </c>
      <c r="C401">
        <v>75</v>
      </c>
      <c r="D401">
        <v>0.753</v>
      </c>
      <c r="E401" s="3">
        <v>0.12</v>
      </c>
      <c r="F401">
        <v>8.8999999999999996E-2</v>
      </c>
      <c r="G401">
        <v>0.80700000000000005</v>
      </c>
      <c r="H401" s="3">
        <v>0.93100000000000005</v>
      </c>
      <c r="I401" s="3">
        <f t="shared" si="6"/>
        <v>6.899999999999995E-2</v>
      </c>
      <c r="J401">
        <v>55</v>
      </c>
      <c r="K401">
        <v>12</v>
      </c>
      <c r="L401">
        <v>9.6999999999999993</v>
      </c>
    </row>
    <row r="402" spans="1:12" x14ac:dyDescent="0.2">
      <c r="A402">
        <v>49</v>
      </c>
      <c r="B402">
        <v>2304</v>
      </c>
      <c r="C402">
        <v>100</v>
      </c>
      <c r="D402">
        <v>0.754</v>
      </c>
      <c r="E402" s="3">
        <v>0.184</v>
      </c>
      <c r="F402">
        <v>7.0999999999999994E-2</v>
      </c>
      <c r="G402">
        <v>0.75</v>
      </c>
      <c r="H402" s="3">
        <v>0.92400000000000004</v>
      </c>
      <c r="I402" s="3">
        <f t="shared" si="6"/>
        <v>7.5999999999999956E-2</v>
      </c>
      <c r="J402">
        <v>20</v>
      </c>
      <c r="K402">
        <v>11</v>
      </c>
      <c r="L402">
        <v>13.4</v>
      </c>
    </row>
    <row r="403" spans="1:12" x14ac:dyDescent="0.2">
      <c r="A403">
        <v>52</v>
      </c>
      <c r="B403">
        <v>2424</v>
      </c>
      <c r="C403">
        <v>126</v>
      </c>
      <c r="D403">
        <v>0.754</v>
      </c>
      <c r="E403" s="3">
        <v>0.106</v>
      </c>
      <c r="F403">
        <v>6.4000000000000001E-2</v>
      </c>
      <c r="G403">
        <v>0.81100000000000005</v>
      </c>
      <c r="H403" s="3">
        <v>0.92500000000000004</v>
      </c>
      <c r="I403" s="3">
        <f t="shared" si="6"/>
        <v>7.4999999999999956E-2</v>
      </c>
      <c r="J403">
        <v>42</v>
      </c>
      <c r="K403">
        <v>0</v>
      </c>
      <c r="L403">
        <v>10.1</v>
      </c>
    </row>
    <row r="404" spans="1:12" x14ac:dyDescent="0.2">
      <c r="A404">
        <v>52</v>
      </c>
      <c r="B404">
        <v>2551</v>
      </c>
      <c r="C404">
        <v>101</v>
      </c>
      <c r="D404">
        <v>0.754</v>
      </c>
      <c r="E404" s="3">
        <v>8.3000000000000004E-2</v>
      </c>
      <c r="F404">
        <v>0.10299999999999999</v>
      </c>
      <c r="G404">
        <v>0.84599999999999997</v>
      </c>
      <c r="H404" s="3">
        <v>0.98299999999999998</v>
      </c>
      <c r="I404" s="3">
        <f t="shared" si="6"/>
        <v>1.7000000000000015E-2</v>
      </c>
      <c r="J404">
        <v>37</v>
      </c>
      <c r="K404">
        <v>15</v>
      </c>
      <c r="L404">
        <v>7.7</v>
      </c>
    </row>
    <row r="405" spans="1:12" x14ac:dyDescent="0.2">
      <c r="A405">
        <v>76</v>
      </c>
      <c r="B405">
        <v>3554</v>
      </c>
      <c r="C405">
        <v>124</v>
      </c>
      <c r="D405">
        <v>0.754</v>
      </c>
      <c r="E405" s="3">
        <v>0.09</v>
      </c>
      <c r="F405">
        <v>7.3999999999999996E-2</v>
      </c>
      <c r="G405">
        <v>0.96299999999999997</v>
      </c>
      <c r="H405" s="3">
        <v>0.96699999999999997</v>
      </c>
      <c r="I405" s="3">
        <f t="shared" si="6"/>
        <v>3.3000000000000029E-2</v>
      </c>
      <c r="J405">
        <v>83</v>
      </c>
      <c r="K405">
        <v>2</v>
      </c>
      <c r="L405">
        <v>2</v>
      </c>
    </row>
    <row r="406" spans="1:12" x14ac:dyDescent="0.2">
      <c r="A406">
        <v>84</v>
      </c>
      <c r="B406">
        <v>3958</v>
      </c>
      <c r="C406">
        <v>64</v>
      </c>
      <c r="D406">
        <v>0.754</v>
      </c>
      <c r="E406" s="3">
        <v>7.1999999999999995E-2</v>
      </c>
      <c r="F406">
        <v>0.24099999999999999</v>
      </c>
      <c r="G406">
        <v>0.96399999999999997</v>
      </c>
      <c r="H406" s="3">
        <v>0.94499999999999995</v>
      </c>
      <c r="I406" s="3">
        <f t="shared" si="6"/>
        <v>5.5000000000000049E-2</v>
      </c>
      <c r="J406">
        <v>49</v>
      </c>
      <c r="K406">
        <v>3</v>
      </c>
      <c r="L406">
        <v>14.6</v>
      </c>
    </row>
    <row r="407" spans="1:12" x14ac:dyDescent="0.2">
      <c r="A407">
        <v>45</v>
      </c>
      <c r="B407">
        <v>2124</v>
      </c>
      <c r="C407">
        <v>174</v>
      </c>
      <c r="D407">
        <v>0.755</v>
      </c>
      <c r="E407" s="3">
        <v>5.8999999999999997E-2</v>
      </c>
      <c r="F407">
        <v>0.26900000000000002</v>
      </c>
      <c r="G407">
        <v>0.71199999999999997</v>
      </c>
      <c r="H407" s="3">
        <v>0.98199999999999998</v>
      </c>
      <c r="I407" s="3">
        <f t="shared" si="6"/>
        <v>1.8000000000000016E-2</v>
      </c>
      <c r="J407">
        <v>87</v>
      </c>
      <c r="K407">
        <v>7</v>
      </c>
      <c r="L407">
        <v>12.3</v>
      </c>
    </row>
    <row r="408" spans="1:12" x14ac:dyDescent="0.2">
      <c r="A408">
        <v>49</v>
      </c>
      <c r="B408">
        <v>2377</v>
      </c>
      <c r="C408">
        <v>118</v>
      </c>
      <c r="D408">
        <v>0.755</v>
      </c>
      <c r="E408" s="3">
        <v>0.14599999999999999</v>
      </c>
      <c r="F408">
        <v>0.219</v>
      </c>
      <c r="G408">
        <v>0.95099999999999996</v>
      </c>
      <c r="H408" s="3">
        <v>0.91500000000000004</v>
      </c>
      <c r="I408" s="3">
        <f t="shared" si="6"/>
        <v>8.4999999999999964E-2</v>
      </c>
      <c r="J408">
        <v>26</v>
      </c>
      <c r="K408">
        <v>3</v>
      </c>
      <c r="L408">
        <v>11.1</v>
      </c>
    </row>
    <row r="409" spans="1:12" x14ac:dyDescent="0.2">
      <c r="A409">
        <v>77</v>
      </c>
      <c r="B409">
        <v>3645</v>
      </c>
      <c r="C409">
        <v>196</v>
      </c>
      <c r="D409">
        <v>0.755</v>
      </c>
      <c r="E409" s="3">
        <v>0.157</v>
      </c>
      <c r="F409">
        <v>0.26700000000000002</v>
      </c>
      <c r="G409">
        <v>0.747</v>
      </c>
      <c r="H409" s="3">
        <v>0.97599999999999998</v>
      </c>
      <c r="I409" s="3">
        <f t="shared" si="6"/>
        <v>2.4000000000000021E-2</v>
      </c>
      <c r="J409">
        <v>48</v>
      </c>
      <c r="K409">
        <v>1</v>
      </c>
      <c r="L409">
        <v>3.3</v>
      </c>
    </row>
    <row r="410" spans="1:12" x14ac:dyDescent="0.2">
      <c r="A410">
        <v>86</v>
      </c>
      <c r="B410">
        <v>4167</v>
      </c>
      <c r="C410">
        <v>94</v>
      </c>
      <c r="D410">
        <v>0.755</v>
      </c>
      <c r="E410" s="3">
        <v>9.0999999999999998E-2</v>
      </c>
      <c r="F410">
        <v>0.25600000000000001</v>
      </c>
      <c r="G410">
        <v>0.83699999999999997</v>
      </c>
      <c r="H410" s="3">
        <v>0.98899999999999999</v>
      </c>
      <c r="I410" s="3">
        <f t="shared" si="6"/>
        <v>1.100000000000001E-2</v>
      </c>
      <c r="J410">
        <v>97</v>
      </c>
      <c r="K410">
        <v>6</v>
      </c>
      <c r="L410">
        <v>12.6</v>
      </c>
    </row>
    <row r="411" spans="1:12" x14ac:dyDescent="0.2">
      <c r="A411">
        <v>93</v>
      </c>
      <c r="B411">
        <v>4498</v>
      </c>
      <c r="C411">
        <v>175</v>
      </c>
      <c r="D411">
        <v>0.755</v>
      </c>
      <c r="E411" s="3">
        <v>0.159</v>
      </c>
      <c r="F411">
        <v>0.27800000000000002</v>
      </c>
      <c r="G411">
        <v>0.875</v>
      </c>
      <c r="H411" s="3">
        <v>0.97399999999999998</v>
      </c>
      <c r="I411" s="3">
        <f t="shared" si="6"/>
        <v>2.6000000000000023E-2</v>
      </c>
      <c r="J411">
        <v>89</v>
      </c>
      <c r="K411">
        <v>5</v>
      </c>
      <c r="L411">
        <v>7</v>
      </c>
    </row>
    <row r="412" spans="1:12" x14ac:dyDescent="0.2">
      <c r="A412">
        <v>30</v>
      </c>
      <c r="B412">
        <v>1253</v>
      </c>
      <c r="C412">
        <v>199</v>
      </c>
      <c r="D412">
        <v>0.75600000000000001</v>
      </c>
      <c r="E412" s="3">
        <v>0.129</v>
      </c>
      <c r="F412">
        <v>0.17399999999999999</v>
      </c>
      <c r="G412">
        <v>0.748</v>
      </c>
      <c r="H412" s="3">
        <v>0.93899999999999995</v>
      </c>
      <c r="I412" s="3">
        <f t="shared" si="6"/>
        <v>6.1000000000000054E-2</v>
      </c>
      <c r="J412">
        <v>86</v>
      </c>
      <c r="K412">
        <v>16</v>
      </c>
      <c r="L412">
        <v>10.199999999999999</v>
      </c>
    </row>
    <row r="413" spans="1:12" x14ac:dyDescent="0.2">
      <c r="A413">
        <v>61</v>
      </c>
      <c r="B413">
        <v>3003</v>
      </c>
      <c r="C413">
        <v>93</v>
      </c>
      <c r="D413">
        <v>0.75600000000000001</v>
      </c>
      <c r="E413" s="3">
        <v>0.191</v>
      </c>
      <c r="F413">
        <v>5.8000000000000003E-2</v>
      </c>
      <c r="G413">
        <v>0.88700000000000001</v>
      </c>
      <c r="H413" s="3">
        <v>0.94099999999999995</v>
      </c>
      <c r="I413" s="3">
        <f t="shared" si="6"/>
        <v>5.9000000000000052E-2</v>
      </c>
      <c r="J413">
        <v>29</v>
      </c>
      <c r="K413">
        <v>7</v>
      </c>
      <c r="L413">
        <v>2.1</v>
      </c>
    </row>
    <row r="414" spans="1:12" x14ac:dyDescent="0.2">
      <c r="A414">
        <v>73</v>
      </c>
      <c r="B414">
        <v>3591</v>
      </c>
      <c r="C414">
        <v>98</v>
      </c>
      <c r="D414">
        <v>0.75600000000000001</v>
      </c>
      <c r="E414" s="3">
        <v>0.15</v>
      </c>
      <c r="F414">
        <v>0.29099999999999998</v>
      </c>
      <c r="G414">
        <v>0.71399999999999997</v>
      </c>
      <c r="H414" s="3">
        <v>0.97</v>
      </c>
      <c r="I414" s="3">
        <f t="shared" si="6"/>
        <v>3.0000000000000027E-2</v>
      </c>
      <c r="J414">
        <v>93</v>
      </c>
      <c r="K414">
        <v>6</v>
      </c>
      <c r="L414">
        <v>6.1</v>
      </c>
    </row>
    <row r="415" spans="1:12" x14ac:dyDescent="0.2">
      <c r="A415">
        <v>86</v>
      </c>
      <c r="B415">
        <v>4173</v>
      </c>
      <c r="C415">
        <v>164</v>
      </c>
      <c r="D415">
        <v>0.75600000000000001</v>
      </c>
      <c r="E415" s="3">
        <v>0.17699999999999999</v>
      </c>
      <c r="F415">
        <v>0.104</v>
      </c>
      <c r="G415">
        <v>0.82899999999999996</v>
      </c>
      <c r="H415" s="3">
        <v>0.97899999999999998</v>
      </c>
      <c r="I415" s="3">
        <f t="shared" si="6"/>
        <v>2.1000000000000019E-2</v>
      </c>
      <c r="J415">
        <v>68</v>
      </c>
      <c r="K415">
        <v>10</v>
      </c>
      <c r="L415">
        <v>9.1999999999999993</v>
      </c>
    </row>
    <row r="416" spans="1:12" x14ac:dyDescent="0.2">
      <c r="A416">
        <v>95</v>
      </c>
      <c r="B416">
        <v>4646</v>
      </c>
      <c r="C416">
        <v>175</v>
      </c>
      <c r="D416">
        <v>0.75600000000000001</v>
      </c>
      <c r="E416" s="3">
        <v>2.3E-2</v>
      </c>
      <c r="F416">
        <v>0.21299999999999999</v>
      </c>
      <c r="G416">
        <v>0.80300000000000005</v>
      </c>
      <c r="H416" s="3">
        <v>0.94499999999999995</v>
      </c>
      <c r="I416" s="3">
        <f t="shared" si="6"/>
        <v>5.5000000000000049E-2</v>
      </c>
      <c r="J416">
        <v>94</v>
      </c>
      <c r="K416">
        <v>17</v>
      </c>
      <c r="L416">
        <v>10.9</v>
      </c>
    </row>
    <row r="417" spans="1:12" x14ac:dyDescent="0.2">
      <c r="A417">
        <v>39</v>
      </c>
      <c r="B417">
        <v>1703</v>
      </c>
      <c r="C417">
        <v>157</v>
      </c>
      <c r="D417">
        <v>0.75700000000000001</v>
      </c>
      <c r="E417" s="3">
        <v>8.4000000000000005E-2</v>
      </c>
      <c r="F417">
        <v>0.29599999999999999</v>
      </c>
      <c r="G417">
        <v>0.98799999999999999</v>
      </c>
      <c r="H417" s="3">
        <v>0.93</v>
      </c>
      <c r="I417" s="3">
        <f t="shared" si="6"/>
        <v>6.9999999999999951E-2</v>
      </c>
      <c r="J417">
        <v>34</v>
      </c>
      <c r="K417">
        <v>9</v>
      </c>
      <c r="L417">
        <v>4.2</v>
      </c>
    </row>
    <row r="418" spans="1:12" x14ac:dyDescent="0.2">
      <c r="A418">
        <v>37</v>
      </c>
      <c r="B418">
        <v>1719</v>
      </c>
      <c r="C418">
        <v>71</v>
      </c>
      <c r="D418">
        <v>0.75700000000000001</v>
      </c>
      <c r="E418" s="3">
        <v>8.4000000000000005E-2</v>
      </c>
      <c r="F418">
        <v>0.19800000000000001</v>
      </c>
      <c r="G418">
        <v>0.76800000000000002</v>
      </c>
      <c r="H418" s="3">
        <v>0.90100000000000002</v>
      </c>
      <c r="I418" s="3">
        <f t="shared" si="6"/>
        <v>9.8999999999999977E-2</v>
      </c>
      <c r="J418">
        <v>54</v>
      </c>
      <c r="K418">
        <v>16</v>
      </c>
      <c r="L418">
        <v>12.7</v>
      </c>
    </row>
    <row r="419" spans="1:12" x14ac:dyDescent="0.2">
      <c r="A419">
        <v>43</v>
      </c>
      <c r="B419">
        <v>2064</v>
      </c>
      <c r="C419">
        <v>46</v>
      </c>
      <c r="D419">
        <v>0.75700000000000001</v>
      </c>
      <c r="E419" s="3">
        <v>0.16200000000000001</v>
      </c>
      <c r="F419">
        <v>0.11600000000000001</v>
      </c>
      <c r="G419">
        <v>0.83899999999999997</v>
      </c>
      <c r="H419" s="3">
        <v>0.995</v>
      </c>
      <c r="I419" s="3">
        <f t="shared" si="6"/>
        <v>5.0000000000000044E-3</v>
      </c>
      <c r="J419">
        <v>20</v>
      </c>
      <c r="K419">
        <v>0</v>
      </c>
      <c r="L419">
        <v>7.6</v>
      </c>
    </row>
    <row r="420" spans="1:12" x14ac:dyDescent="0.2">
      <c r="A420">
        <v>47</v>
      </c>
      <c r="B420">
        <v>2313</v>
      </c>
      <c r="C420">
        <v>43</v>
      </c>
      <c r="D420">
        <v>0.75700000000000001</v>
      </c>
      <c r="E420" s="3">
        <v>0.14099999999999999</v>
      </c>
      <c r="F420">
        <v>0.16300000000000001</v>
      </c>
      <c r="G420">
        <v>0.84799999999999998</v>
      </c>
      <c r="H420" s="3">
        <v>0.94</v>
      </c>
      <c r="I420" s="3">
        <f t="shared" si="6"/>
        <v>6.0000000000000053E-2</v>
      </c>
      <c r="J420">
        <v>73</v>
      </c>
      <c r="K420">
        <v>2</v>
      </c>
      <c r="L420">
        <v>12</v>
      </c>
    </row>
    <row r="421" spans="1:12" x14ac:dyDescent="0.2">
      <c r="A421">
        <v>74</v>
      </c>
      <c r="B421">
        <v>3506</v>
      </c>
      <c r="C421">
        <v>174</v>
      </c>
      <c r="D421">
        <v>0.75700000000000001</v>
      </c>
      <c r="E421" s="3">
        <v>4.2000000000000003E-2</v>
      </c>
      <c r="F421">
        <v>0.114</v>
      </c>
      <c r="G421">
        <v>0.78700000000000003</v>
      </c>
      <c r="H421" s="3">
        <v>0.95</v>
      </c>
      <c r="I421" s="3">
        <f t="shared" si="6"/>
        <v>5.0000000000000044E-2</v>
      </c>
      <c r="J421">
        <v>9</v>
      </c>
      <c r="K421">
        <v>6</v>
      </c>
      <c r="L421">
        <v>8.1</v>
      </c>
    </row>
    <row r="422" spans="1:12" x14ac:dyDescent="0.2">
      <c r="A422">
        <v>96</v>
      </c>
      <c r="B422">
        <v>4655</v>
      </c>
      <c r="C422">
        <v>136</v>
      </c>
      <c r="D422">
        <v>0.75700000000000001</v>
      </c>
      <c r="E422" s="3">
        <v>0.184</v>
      </c>
      <c r="F422">
        <v>5.5E-2</v>
      </c>
      <c r="G422">
        <v>0.96399999999999997</v>
      </c>
      <c r="H422" s="3">
        <v>0.91400000000000003</v>
      </c>
      <c r="I422" s="3">
        <f t="shared" si="6"/>
        <v>8.5999999999999965E-2</v>
      </c>
      <c r="J422">
        <v>48</v>
      </c>
      <c r="K422">
        <v>3</v>
      </c>
      <c r="L422">
        <v>4.5999999999999996</v>
      </c>
    </row>
    <row r="423" spans="1:12" x14ac:dyDescent="0.2">
      <c r="A423">
        <v>100</v>
      </c>
      <c r="B423">
        <v>4923</v>
      </c>
      <c r="C423">
        <v>113</v>
      </c>
      <c r="D423">
        <v>0.75700000000000001</v>
      </c>
      <c r="E423" s="3">
        <v>0.18099999999999999</v>
      </c>
      <c r="F423">
        <v>0.17199999999999999</v>
      </c>
      <c r="G423">
        <v>0.76400000000000001</v>
      </c>
      <c r="H423" s="3">
        <v>0.99099999999999999</v>
      </c>
      <c r="I423" s="3">
        <f t="shared" si="6"/>
        <v>9.000000000000008E-3</v>
      </c>
      <c r="J423">
        <v>80</v>
      </c>
      <c r="K423">
        <v>2</v>
      </c>
      <c r="L423">
        <v>4.5999999999999996</v>
      </c>
    </row>
    <row r="424" spans="1:12" x14ac:dyDescent="0.2">
      <c r="A424">
        <v>52</v>
      </c>
      <c r="B424">
        <v>2546</v>
      </c>
      <c r="C424">
        <v>152</v>
      </c>
      <c r="D424">
        <v>0.75800000000000001</v>
      </c>
      <c r="E424" s="3">
        <v>3.6999999999999998E-2</v>
      </c>
      <c r="F424">
        <v>0.21199999999999999</v>
      </c>
      <c r="G424">
        <v>0.82799999999999996</v>
      </c>
      <c r="H424" s="3">
        <v>0.98499999999999999</v>
      </c>
      <c r="I424" s="3">
        <f t="shared" si="6"/>
        <v>1.5000000000000013E-2</v>
      </c>
      <c r="J424">
        <v>46</v>
      </c>
      <c r="K424">
        <v>3</v>
      </c>
      <c r="L424">
        <v>12.1</v>
      </c>
    </row>
    <row r="425" spans="1:12" x14ac:dyDescent="0.2">
      <c r="A425">
        <v>34</v>
      </c>
      <c r="B425">
        <v>1546</v>
      </c>
      <c r="C425">
        <v>55</v>
      </c>
      <c r="D425">
        <v>0.75900000000000001</v>
      </c>
      <c r="E425" s="3">
        <v>1.7999999999999999E-2</v>
      </c>
      <c r="F425">
        <v>5.3999999999999999E-2</v>
      </c>
      <c r="G425">
        <v>0.72499999999999998</v>
      </c>
      <c r="H425" s="3">
        <v>0.94599999999999995</v>
      </c>
      <c r="I425" s="3">
        <f t="shared" si="6"/>
        <v>5.4000000000000048E-2</v>
      </c>
      <c r="J425">
        <v>83</v>
      </c>
      <c r="K425">
        <v>17</v>
      </c>
      <c r="L425">
        <v>3</v>
      </c>
    </row>
    <row r="426" spans="1:12" x14ac:dyDescent="0.2">
      <c r="A426">
        <v>33</v>
      </c>
      <c r="B426">
        <v>1557</v>
      </c>
      <c r="C426">
        <v>129</v>
      </c>
      <c r="D426">
        <v>0.75900000000000001</v>
      </c>
      <c r="E426" s="3">
        <v>0.10199999999999999</v>
      </c>
      <c r="F426">
        <v>0.29699999999999999</v>
      </c>
      <c r="G426">
        <v>0.71899999999999997</v>
      </c>
      <c r="H426" s="3">
        <v>0.92400000000000004</v>
      </c>
      <c r="I426" s="3">
        <f t="shared" si="6"/>
        <v>7.5999999999999956E-2</v>
      </c>
      <c r="J426">
        <v>98</v>
      </c>
      <c r="K426">
        <v>8</v>
      </c>
      <c r="L426">
        <v>4.2</v>
      </c>
    </row>
    <row r="427" spans="1:12" x14ac:dyDescent="0.2">
      <c r="A427">
        <v>80</v>
      </c>
      <c r="B427">
        <v>3883</v>
      </c>
      <c r="C427">
        <v>134</v>
      </c>
      <c r="D427">
        <v>0.75900000000000001</v>
      </c>
      <c r="E427" s="3">
        <v>0.157</v>
      </c>
      <c r="F427">
        <v>0.108</v>
      </c>
      <c r="G427">
        <v>0.93799999999999994</v>
      </c>
      <c r="H427" s="3">
        <v>0.92500000000000004</v>
      </c>
      <c r="I427" s="3">
        <f t="shared" si="6"/>
        <v>7.4999999999999956E-2</v>
      </c>
      <c r="J427">
        <v>69</v>
      </c>
      <c r="K427">
        <v>1</v>
      </c>
      <c r="L427">
        <v>8.3000000000000007</v>
      </c>
    </row>
    <row r="428" spans="1:12" x14ac:dyDescent="0.2">
      <c r="A428">
        <v>92</v>
      </c>
      <c r="B428">
        <v>4492</v>
      </c>
      <c r="C428">
        <v>106</v>
      </c>
      <c r="D428">
        <v>0.75900000000000001</v>
      </c>
      <c r="E428" s="3">
        <v>0.17100000000000001</v>
      </c>
      <c r="F428">
        <v>6.8000000000000005E-2</v>
      </c>
      <c r="G428">
        <v>0.7</v>
      </c>
      <c r="H428" s="3">
        <v>0.92500000000000004</v>
      </c>
      <c r="I428" s="3">
        <f t="shared" si="6"/>
        <v>7.4999999999999956E-2</v>
      </c>
      <c r="J428">
        <v>8</v>
      </c>
      <c r="K428">
        <v>15</v>
      </c>
      <c r="L428">
        <v>13.6</v>
      </c>
    </row>
    <row r="429" spans="1:12" x14ac:dyDescent="0.2">
      <c r="A429">
        <v>35</v>
      </c>
      <c r="B429">
        <v>1692</v>
      </c>
      <c r="C429">
        <v>125</v>
      </c>
      <c r="D429">
        <v>0.76</v>
      </c>
      <c r="E429" s="3">
        <v>2.4E-2</v>
      </c>
      <c r="F429">
        <v>0.19900000000000001</v>
      </c>
      <c r="G429">
        <v>0.79900000000000004</v>
      </c>
      <c r="H429" s="3">
        <v>0.91800000000000004</v>
      </c>
      <c r="I429" s="3">
        <f t="shared" si="6"/>
        <v>8.1999999999999962E-2</v>
      </c>
      <c r="J429">
        <v>27</v>
      </c>
      <c r="K429">
        <v>18</v>
      </c>
      <c r="L429">
        <v>13</v>
      </c>
    </row>
    <row r="430" spans="1:12" x14ac:dyDescent="0.2">
      <c r="A430">
        <v>35</v>
      </c>
      <c r="B430">
        <v>1714</v>
      </c>
      <c r="C430">
        <v>63</v>
      </c>
      <c r="D430">
        <v>0.76</v>
      </c>
      <c r="E430" s="3">
        <v>1.7000000000000001E-2</v>
      </c>
      <c r="F430">
        <v>0.29499999999999998</v>
      </c>
      <c r="G430">
        <v>0.72099999999999997</v>
      </c>
      <c r="H430" s="3">
        <v>0.97299999999999998</v>
      </c>
      <c r="I430" s="3">
        <f t="shared" si="6"/>
        <v>2.7000000000000024E-2</v>
      </c>
      <c r="J430">
        <v>39</v>
      </c>
      <c r="K430">
        <v>13</v>
      </c>
      <c r="L430">
        <v>13.4</v>
      </c>
    </row>
    <row r="431" spans="1:12" x14ac:dyDescent="0.2">
      <c r="A431">
        <v>40</v>
      </c>
      <c r="B431">
        <v>1912</v>
      </c>
      <c r="C431">
        <v>167</v>
      </c>
      <c r="D431">
        <v>0.76</v>
      </c>
      <c r="E431" s="3">
        <v>0.128</v>
      </c>
      <c r="F431">
        <v>0.22500000000000001</v>
      </c>
      <c r="G431">
        <v>0.97</v>
      </c>
      <c r="H431" s="3">
        <v>0.94499999999999995</v>
      </c>
      <c r="I431" s="3">
        <f t="shared" si="6"/>
        <v>5.5000000000000049E-2</v>
      </c>
      <c r="J431">
        <v>97</v>
      </c>
      <c r="K431">
        <v>4</v>
      </c>
      <c r="L431">
        <v>4.5</v>
      </c>
    </row>
    <row r="432" spans="1:12" x14ac:dyDescent="0.2">
      <c r="A432">
        <v>54</v>
      </c>
      <c r="B432">
        <v>2461</v>
      </c>
      <c r="C432">
        <v>21</v>
      </c>
      <c r="D432">
        <v>0.76</v>
      </c>
      <c r="E432" s="3">
        <v>1.9E-2</v>
      </c>
      <c r="F432">
        <v>0.1</v>
      </c>
      <c r="G432">
        <v>0.84099999999999997</v>
      </c>
      <c r="H432" s="3">
        <v>0.91300000000000003</v>
      </c>
      <c r="I432" s="3">
        <f t="shared" si="6"/>
        <v>8.6999999999999966E-2</v>
      </c>
      <c r="J432">
        <v>94</v>
      </c>
      <c r="K432">
        <v>19</v>
      </c>
      <c r="L432">
        <v>14.3</v>
      </c>
    </row>
    <row r="433" spans="1:12" x14ac:dyDescent="0.2">
      <c r="A433">
        <v>65</v>
      </c>
      <c r="B433">
        <v>2988</v>
      </c>
      <c r="C433">
        <v>181</v>
      </c>
      <c r="D433">
        <v>0.76</v>
      </c>
      <c r="E433" s="3">
        <v>0.13400000000000001</v>
      </c>
      <c r="F433">
        <v>0.28000000000000003</v>
      </c>
      <c r="G433">
        <v>0.86799999999999999</v>
      </c>
      <c r="H433" s="3">
        <v>0.96699999999999997</v>
      </c>
      <c r="I433" s="3">
        <f t="shared" si="6"/>
        <v>3.3000000000000029E-2</v>
      </c>
      <c r="J433">
        <v>70</v>
      </c>
      <c r="K433">
        <v>7</v>
      </c>
      <c r="L433">
        <v>13.7</v>
      </c>
    </row>
    <row r="434" spans="1:12" x14ac:dyDescent="0.2">
      <c r="A434">
        <v>66</v>
      </c>
      <c r="B434">
        <v>3222</v>
      </c>
      <c r="C434">
        <v>96</v>
      </c>
      <c r="D434">
        <v>0.76</v>
      </c>
      <c r="E434" s="3">
        <v>0.13700000000000001</v>
      </c>
      <c r="F434">
        <v>0.154</v>
      </c>
      <c r="G434">
        <v>0.86</v>
      </c>
      <c r="H434" s="3">
        <v>0.94899999999999995</v>
      </c>
      <c r="I434" s="3">
        <f t="shared" si="6"/>
        <v>5.1000000000000045E-2</v>
      </c>
      <c r="J434">
        <v>85</v>
      </c>
      <c r="K434">
        <v>17</v>
      </c>
      <c r="L434">
        <v>6.9</v>
      </c>
    </row>
    <row r="435" spans="1:12" x14ac:dyDescent="0.2">
      <c r="A435">
        <v>67</v>
      </c>
      <c r="B435">
        <v>3314</v>
      </c>
      <c r="C435">
        <v>155</v>
      </c>
      <c r="D435">
        <v>0.76100000000000001</v>
      </c>
      <c r="E435" s="3">
        <v>0.14599999999999999</v>
      </c>
      <c r="F435">
        <v>0.23899999999999999</v>
      </c>
      <c r="G435">
        <v>0.78300000000000003</v>
      </c>
      <c r="H435" s="3">
        <v>0.93300000000000005</v>
      </c>
      <c r="I435" s="3">
        <f t="shared" si="6"/>
        <v>6.6999999999999948E-2</v>
      </c>
      <c r="J435">
        <v>13</v>
      </c>
      <c r="K435">
        <v>3</v>
      </c>
      <c r="L435">
        <v>11.2</v>
      </c>
    </row>
    <row r="436" spans="1:12" x14ac:dyDescent="0.2">
      <c r="A436">
        <v>96</v>
      </c>
      <c r="B436">
        <v>4644</v>
      </c>
      <c r="C436">
        <v>82</v>
      </c>
      <c r="D436">
        <v>0.76100000000000001</v>
      </c>
      <c r="E436" s="3">
        <v>7.8E-2</v>
      </c>
      <c r="F436">
        <v>0.23300000000000001</v>
      </c>
      <c r="G436">
        <v>0.81399999999999995</v>
      </c>
      <c r="H436" s="3">
        <v>0.91900000000000004</v>
      </c>
      <c r="I436" s="3">
        <f t="shared" si="6"/>
        <v>8.0999999999999961E-2</v>
      </c>
      <c r="J436">
        <v>26</v>
      </c>
      <c r="K436">
        <v>12</v>
      </c>
      <c r="L436">
        <v>14.3</v>
      </c>
    </row>
    <row r="437" spans="1:12" x14ac:dyDescent="0.2">
      <c r="A437">
        <v>27</v>
      </c>
      <c r="B437">
        <v>1314</v>
      </c>
      <c r="C437">
        <v>172</v>
      </c>
      <c r="D437">
        <v>0.76200000000000001</v>
      </c>
      <c r="E437" s="3">
        <v>0.19600000000000001</v>
      </c>
      <c r="F437">
        <v>0.06</v>
      </c>
      <c r="G437">
        <v>0.76500000000000001</v>
      </c>
      <c r="H437" s="3">
        <v>0.995</v>
      </c>
      <c r="I437" s="3">
        <f t="shared" si="6"/>
        <v>5.0000000000000044E-3</v>
      </c>
      <c r="J437">
        <v>34</v>
      </c>
      <c r="K437">
        <v>1</v>
      </c>
      <c r="L437">
        <v>9.5</v>
      </c>
    </row>
    <row r="438" spans="1:12" x14ac:dyDescent="0.2">
      <c r="A438">
        <v>57</v>
      </c>
      <c r="B438">
        <v>2723</v>
      </c>
      <c r="C438">
        <v>31</v>
      </c>
      <c r="D438">
        <v>0.76200000000000001</v>
      </c>
      <c r="E438" s="3">
        <v>0.11600000000000001</v>
      </c>
      <c r="F438">
        <v>8.8999999999999996E-2</v>
      </c>
      <c r="G438">
        <v>0.89400000000000002</v>
      </c>
      <c r="H438" s="3">
        <v>0.97499999999999998</v>
      </c>
      <c r="I438" s="3">
        <f t="shared" si="6"/>
        <v>2.5000000000000022E-2</v>
      </c>
      <c r="J438">
        <v>42</v>
      </c>
      <c r="K438">
        <v>5</v>
      </c>
      <c r="L438">
        <v>10.3</v>
      </c>
    </row>
    <row r="439" spans="1:12" x14ac:dyDescent="0.2">
      <c r="A439">
        <v>91</v>
      </c>
      <c r="B439">
        <v>4318</v>
      </c>
      <c r="C439">
        <v>127</v>
      </c>
      <c r="D439">
        <v>0.76200000000000001</v>
      </c>
      <c r="E439" s="3">
        <v>7.6999999999999999E-2</v>
      </c>
      <c r="F439">
        <v>0.14599999999999999</v>
      </c>
      <c r="G439">
        <v>0.78800000000000003</v>
      </c>
      <c r="H439" s="3">
        <v>0.97699999999999998</v>
      </c>
      <c r="I439" s="3">
        <f t="shared" si="6"/>
        <v>2.300000000000002E-2</v>
      </c>
      <c r="J439">
        <v>45</v>
      </c>
      <c r="K439">
        <v>15</v>
      </c>
      <c r="L439">
        <v>2.5</v>
      </c>
    </row>
    <row r="440" spans="1:12" x14ac:dyDescent="0.2">
      <c r="A440">
        <v>97</v>
      </c>
      <c r="B440">
        <v>4642</v>
      </c>
      <c r="C440">
        <v>83</v>
      </c>
      <c r="D440">
        <v>0.76200000000000001</v>
      </c>
      <c r="E440" s="3">
        <v>6.5000000000000002E-2</v>
      </c>
      <c r="F440">
        <v>5.8999999999999997E-2</v>
      </c>
      <c r="G440">
        <v>0.84399999999999997</v>
      </c>
      <c r="H440" s="3">
        <v>0.98399999999999999</v>
      </c>
      <c r="I440" s="3">
        <f t="shared" si="6"/>
        <v>1.6000000000000014E-2</v>
      </c>
      <c r="J440">
        <v>13</v>
      </c>
      <c r="K440">
        <v>15</v>
      </c>
      <c r="L440">
        <v>11.7</v>
      </c>
    </row>
    <row r="441" spans="1:12" x14ac:dyDescent="0.2">
      <c r="A441">
        <v>28</v>
      </c>
      <c r="B441">
        <v>1161</v>
      </c>
      <c r="C441">
        <v>179</v>
      </c>
      <c r="D441">
        <v>0.76300000000000001</v>
      </c>
      <c r="E441" s="3">
        <v>0.13200000000000001</v>
      </c>
      <c r="F441">
        <v>0.115</v>
      </c>
      <c r="G441">
        <v>0.82599999999999996</v>
      </c>
      <c r="H441" s="3">
        <v>0.95399999999999996</v>
      </c>
      <c r="I441" s="3">
        <f t="shared" si="6"/>
        <v>4.6000000000000041E-2</v>
      </c>
      <c r="J441">
        <v>17</v>
      </c>
      <c r="K441">
        <v>4</v>
      </c>
      <c r="L441">
        <v>4.5</v>
      </c>
    </row>
    <row r="442" spans="1:12" x14ac:dyDescent="0.2">
      <c r="A442">
        <v>44</v>
      </c>
      <c r="B442">
        <v>1941</v>
      </c>
      <c r="C442">
        <v>154</v>
      </c>
      <c r="D442">
        <v>0.76300000000000001</v>
      </c>
      <c r="E442" s="3">
        <v>0.19600000000000001</v>
      </c>
      <c r="F442">
        <v>9.0999999999999998E-2</v>
      </c>
      <c r="G442">
        <v>0.76600000000000001</v>
      </c>
      <c r="H442" s="3">
        <v>0.93</v>
      </c>
      <c r="I442" s="3">
        <f t="shared" si="6"/>
        <v>6.9999999999999951E-2</v>
      </c>
      <c r="J442">
        <v>91</v>
      </c>
      <c r="K442">
        <v>9</v>
      </c>
      <c r="L442">
        <v>13.2</v>
      </c>
    </row>
    <row r="443" spans="1:12" x14ac:dyDescent="0.2">
      <c r="A443">
        <v>44</v>
      </c>
      <c r="B443">
        <v>2011</v>
      </c>
      <c r="C443">
        <v>67</v>
      </c>
      <c r="D443">
        <v>0.76300000000000001</v>
      </c>
      <c r="E443" s="3">
        <v>0.183</v>
      </c>
      <c r="F443">
        <v>0.221</v>
      </c>
      <c r="G443">
        <v>0.79200000000000004</v>
      </c>
      <c r="H443" s="3">
        <v>0.95</v>
      </c>
      <c r="I443" s="3">
        <f t="shared" si="6"/>
        <v>5.0000000000000044E-2</v>
      </c>
      <c r="J443">
        <v>45</v>
      </c>
      <c r="K443">
        <v>19</v>
      </c>
      <c r="L443">
        <v>4.5999999999999996</v>
      </c>
    </row>
    <row r="444" spans="1:12" x14ac:dyDescent="0.2">
      <c r="A444">
        <v>52</v>
      </c>
      <c r="B444">
        <v>2422</v>
      </c>
      <c r="C444">
        <v>49</v>
      </c>
      <c r="D444">
        <v>0.76300000000000001</v>
      </c>
      <c r="E444" s="3">
        <v>0.13</v>
      </c>
      <c r="F444">
        <v>0.245</v>
      </c>
      <c r="G444">
        <v>0.89400000000000002</v>
      </c>
      <c r="H444" s="3">
        <v>0.93100000000000005</v>
      </c>
      <c r="I444" s="3">
        <f t="shared" si="6"/>
        <v>6.899999999999995E-2</v>
      </c>
      <c r="J444">
        <v>51</v>
      </c>
      <c r="K444">
        <v>17</v>
      </c>
      <c r="L444">
        <v>10.5</v>
      </c>
    </row>
    <row r="445" spans="1:12" x14ac:dyDescent="0.2">
      <c r="A445">
        <v>80</v>
      </c>
      <c r="B445">
        <v>3871</v>
      </c>
      <c r="C445">
        <v>103</v>
      </c>
      <c r="D445">
        <v>0.76300000000000001</v>
      </c>
      <c r="E445" s="3">
        <v>7.2999999999999995E-2</v>
      </c>
      <c r="F445">
        <v>0.17899999999999999</v>
      </c>
      <c r="G445">
        <v>0.89400000000000002</v>
      </c>
      <c r="H445" s="3">
        <v>0.90800000000000003</v>
      </c>
      <c r="I445" s="3">
        <f t="shared" si="6"/>
        <v>9.1999999999999971E-2</v>
      </c>
      <c r="J445">
        <v>19</v>
      </c>
      <c r="K445">
        <v>16</v>
      </c>
      <c r="L445">
        <v>5.5</v>
      </c>
    </row>
    <row r="446" spans="1:12" x14ac:dyDescent="0.2">
      <c r="A446">
        <v>83</v>
      </c>
      <c r="B446">
        <v>3894</v>
      </c>
      <c r="C446">
        <v>197</v>
      </c>
      <c r="D446">
        <v>0.76300000000000001</v>
      </c>
      <c r="E446" s="3">
        <v>0.16400000000000001</v>
      </c>
      <c r="F446">
        <v>0.12</v>
      </c>
      <c r="G446">
        <v>0.79</v>
      </c>
      <c r="H446" s="3">
        <v>0.94699999999999995</v>
      </c>
      <c r="I446" s="3">
        <f t="shared" si="6"/>
        <v>5.3000000000000047E-2</v>
      </c>
      <c r="J446">
        <v>71</v>
      </c>
      <c r="K446">
        <v>1</v>
      </c>
      <c r="L446">
        <v>3.7</v>
      </c>
    </row>
    <row r="447" spans="1:12" x14ac:dyDescent="0.2">
      <c r="A447">
        <v>47</v>
      </c>
      <c r="B447">
        <v>2098</v>
      </c>
      <c r="C447">
        <v>116</v>
      </c>
      <c r="D447">
        <v>0.76400000000000001</v>
      </c>
      <c r="E447" s="3">
        <v>0.13100000000000001</v>
      </c>
      <c r="F447">
        <v>0.14199999999999999</v>
      </c>
      <c r="G447">
        <v>0.89600000000000002</v>
      </c>
      <c r="H447" s="3">
        <v>0.98199999999999998</v>
      </c>
      <c r="I447" s="3">
        <f t="shared" si="6"/>
        <v>1.8000000000000016E-2</v>
      </c>
      <c r="J447">
        <v>88</v>
      </c>
      <c r="K447">
        <v>15</v>
      </c>
      <c r="L447">
        <v>3.7</v>
      </c>
    </row>
    <row r="448" spans="1:12" x14ac:dyDescent="0.2">
      <c r="A448">
        <v>59</v>
      </c>
      <c r="B448">
        <v>2792</v>
      </c>
      <c r="C448">
        <v>54</v>
      </c>
      <c r="D448">
        <v>0.76400000000000001</v>
      </c>
      <c r="E448" s="3">
        <v>6.5000000000000002E-2</v>
      </c>
      <c r="F448">
        <v>0.26</v>
      </c>
      <c r="G448">
        <v>0.85599999999999998</v>
      </c>
      <c r="H448" s="3">
        <v>0.96699999999999997</v>
      </c>
      <c r="I448" s="3">
        <f t="shared" si="6"/>
        <v>3.3000000000000029E-2</v>
      </c>
      <c r="J448">
        <v>21</v>
      </c>
      <c r="K448">
        <v>17</v>
      </c>
      <c r="L448">
        <v>1.9</v>
      </c>
    </row>
    <row r="449" spans="1:12" x14ac:dyDescent="0.2">
      <c r="A449">
        <v>28</v>
      </c>
      <c r="B449">
        <v>1355</v>
      </c>
      <c r="C449">
        <v>62</v>
      </c>
      <c r="D449">
        <v>0.76600000000000001</v>
      </c>
      <c r="E449" s="3">
        <v>0.12</v>
      </c>
      <c r="F449">
        <v>0.23100000000000001</v>
      </c>
      <c r="G449">
        <v>0.75800000000000001</v>
      </c>
      <c r="H449" s="3">
        <v>0.998</v>
      </c>
      <c r="I449" s="3">
        <f t="shared" si="6"/>
        <v>2.0000000000000018E-3</v>
      </c>
      <c r="J449">
        <v>89</v>
      </c>
      <c r="K449">
        <v>16</v>
      </c>
      <c r="L449">
        <v>13.1</v>
      </c>
    </row>
    <row r="450" spans="1:12" x14ac:dyDescent="0.2">
      <c r="A450">
        <v>69</v>
      </c>
      <c r="B450">
        <v>3372</v>
      </c>
      <c r="C450">
        <v>78</v>
      </c>
      <c r="D450">
        <v>0.76600000000000001</v>
      </c>
      <c r="E450" s="3">
        <v>1.7000000000000001E-2</v>
      </c>
      <c r="F450">
        <v>0.19400000000000001</v>
      </c>
      <c r="G450">
        <v>0.71099999999999997</v>
      </c>
      <c r="H450" s="3">
        <v>0.97</v>
      </c>
      <c r="I450" s="3">
        <f t="shared" si="6"/>
        <v>3.0000000000000027E-2</v>
      </c>
      <c r="J450">
        <v>77</v>
      </c>
      <c r="K450">
        <v>2</v>
      </c>
      <c r="L450">
        <v>12.8</v>
      </c>
    </row>
    <row r="451" spans="1:12" x14ac:dyDescent="0.2">
      <c r="A451">
        <v>72</v>
      </c>
      <c r="B451">
        <v>3518</v>
      </c>
      <c r="C451">
        <v>19</v>
      </c>
      <c r="D451">
        <v>0.76600000000000001</v>
      </c>
      <c r="E451" s="3">
        <v>3.7999999999999999E-2</v>
      </c>
      <c r="F451">
        <v>0.217</v>
      </c>
      <c r="G451">
        <v>0.92900000000000005</v>
      </c>
      <c r="H451" s="3">
        <v>0.91300000000000003</v>
      </c>
      <c r="I451" s="3">
        <f t="shared" ref="I451:I514" si="7">1-H451</f>
        <v>8.6999999999999966E-2</v>
      </c>
      <c r="J451">
        <v>95</v>
      </c>
      <c r="K451">
        <v>14</v>
      </c>
      <c r="L451">
        <v>13.3</v>
      </c>
    </row>
    <row r="452" spans="1:12" x14ac:dyDescent="0.2">
      <c r="A452">
        <v>44</v>
      </c>
      <c r="B452">
        <v>1951</v>
      </c>
      <c r="C452">
        <v>107</v>
      </c>
      <c r="D452">
        <v>0.76700000000000002</v>
      </c>
      <c r="E452" s="3">
        <v>0.127</v>
      </c>
      <c r="F452">
        <v>0.13100000000000001</v>
      </c>
      <c r="G452">
        <v>0.86599999999999999</v>
      </c>
      <c r="H452" s="3">
        <v>0.96</v>
      </c>
      <c r="I452" s="3">
        <f t="shared" si="7"/>
        <v>4.0000000000000036E-2</v>
      </c>
      <c r="J452">
        <v>84</v>
      </c>
      <c r="K452">
        <v>4</v>
      </c>
      <c r="L452">
        <v>13.2</v>
      </c>
    </row>
    <row r="453" spans="1:12" x14ac:dyDescent="0.2">
      <c r="A453">
        <v>43</v>
      </c>
      <c r="B453">
        <v>2124</v>
      </c>
      <c r="C453">
        <v>135</v>
      </c>
      <c r="D453">
        <v>0.76700000000000002</v>
      </c>
      <c r="E453" s="3">
        <v>0.124</v>
      </c>
      <c r="F453">
        <v>0.24</v>
      </c>
      <c r="G453">
        <v>0.81100000000000005</v>
      </c>
      <c r="H453" s="3">
        <v>0.91</v>
      </c>
      <c r="I453" s="3">
        <f t="shared" si="7"/>
        <v>8.9999999999999969E-2</v>
      </c>
      <c r="J453">
        <v>62</v>
      </c>
      <c r="K453">
        <v>14</v>
      </c>
      <c r="L453">
        <v>1.1000000000000001</v>
      </c>
    </row>
    <row r="454" spans="1:12" x14ac:dyDescent="0.2">
      <c r="A454">
        <v>47</v>
      </c>
      <c r="B454">
        <v>2238</v>
      </c>
      <c r="C454">
        <v>71</v>
      </c>
      <c r="D454">
        <v>0.76700000000000002</v>
      </c>
      <c r="E454" s="3">
        <v>5.6000000000000001E-2</v>
      </c>
      <c r="F454">
        <v>9.8000000000000004E-2</v>
      </c>
      <c r="G454">
        <v>0.81100000000000005</v>
      </c>
      <c r="H454" s="3">
        <v>0.94399999999999995</v>
      </c>
      <c r="I454" s="3">
        <f t="shared" si="7"/>
        <v>5.600000000000005E-2</v>
      </c>
      <c r="J454">
        <v>63</v>
      </c>
      <c r="K454">
        <v>6</v>
      </c>
      <c r="L454">
        <v>13</v>
      </c>
    </row>
    <row r="455" spans="1:12" x14ac:dyDescent="0.2">
      <c r="A455">
        <v>37</v>
      </c>
      <c r="B455">
        <v>1603</v>
      </c>
      <c r="C455">
        <v>26</v>
      </c>
      <c r="D455">
        <v>0.76800000000000002</v>
      </c>
      <c r="E455" s="3">
        <v>9.8000000000000004E-2</v>
      </c>
      <c r="F455">
        <v>0.159</v>
      </c>
      <c r="G455">
        <v>0.99</v>
      </c>
      <c r="H455" s="3">
        <v>0.98799999999999999</v>
      </c>
      <c r="I455" s="3">
        <f t="shared" si="7"/>
        <v>1.2000000000000011E-2</v>
      </c>
      <c r="J455">
        <v>86</v>
      </c>
      <c r="K455">
        <v>14</v>
      </c>
      <c r="L455">
        <v>3.2</v>
      </c>
    </row>
    <row r="456" spans="1:12" x14ac:dyDescent="0.2">
      <c r="A456">
        <v>65</v>
      </c>
      <c r="B456">
        <v>2982</v>
      </c>
      <c r="C456">
        <v>97</v>
      </c>
      <c r="D456">
        <v>0.76800000000000002</v>
      </c>
      <c r="E456" s="3">
        <v>1.7000000000000001E-2</v>
      </c>
      <c r="F456">
        <v>0.3</v>
      </c>
      <c r="G456">
        <v>0.878</v>
      </c>
      <c r="H456" s="3">
        <v>0.90200000000000002</v>
      </c>
      <c r="I456" s="3">
        <f t="shared" si="7"/>
        <v>9.7999999999999976E-2</v>
      </c>
      <c r="J456">
        <v>28</v>
      </c>
      <c r="K456">
        <v>18</v>
      </c>
      <c r="L456">
        <v>14.3</v>
      </c>
    </row>
    <row r="457" spans="1:12" x14ac:dyDescent="0.2">
      <c r="A457">
        <v>70</v>
      </c>
      <c r="B457">
        <v>3241</v>
      </c>
      <c r="C457">
        <v>57</v>
      </c>
      <c r="D457">
        <v>0.76800000000000002</v>
      </c>
      <c r="E457" s="3">
        <v>2.5000000000000001E-2</v>
      </c>
      <c r="F457">
        <v>0.13600000000000001</v>
      </c>
      <c r="G457">
        <v>0.91400000000000003</v>
      </c>
      <c r="H457" s="3">
        <v>0.97099999999999997</v>
      </c>
      <c r="I457" s="3">
        <f t="shared" si="7"/>
        <v>2.9000000000000026E-2</v>
      </c>
      <c r="J457">
        <v>49</v>
      </c>
      <c r="K457">
        <v>1</v>
      </c>
      <c r="L457">
        <v>1.6</v>
      </c>
    </row>
    <row r="458" spans="1:12" x14ac:dyDescent="0.2">
      <c r="A458">
        <v>71</v>
      </c>
      <c r="B458">
        <v>3390</v>
      </c>
      <c r="C458">
        <v>58</v>
      </c>
      <c r="D458">
        <v>0.76800000000000002</v>
      </c>
      <c r="E458" s="3">
        <v>5.8000000000000003E-2</v>
      </c>
      <c r="F458">
        <v>0.23400000000000001</v>
      </c>
      <c r="G458">
        <v>0.96</v>
      </c>
      <c r="H458" s="3">
        <v>0.92</v>
      </c>
      <c r="I458" s="3">
        <f t="shared" si="7"/>
        <v>7.999999999999996E-2</v>
      </c>
      <c r="J458">
        <v>96</v>
      </c>
      <c r="K458">
        <v>15</v>
      </c>
      <c r="L458">
        <v>12.9</v>
      </c>
    </row>
    <row r="459" spans="1:12" x14ac:dyDescent="0.2">
      <c r="A459">
        <v>79</v>
      </c>
      <c r="B459">
        <v>3780</v>
      </c>
      <c r="C459">
        <v>57</v>
      </c>
      <c r="D459">
        <v>0.76800000000000002</v>
      </c>
      <c r="E459" s="3">
        <v>1.0999999999999999E-2</v>
      </c>
      <c r="F459">
        <v>0.20799999999999999</v>
      </c>
      <c r="G459">
        <v>0.76700000000000002</v>
      </c>
      <c r="H459" s="3">
        <v>0.95699999999999996</v>
      </c>
      <c r="I459" s="3">
        <f t="shared" si="7"/>
        <v>4.3000000000000038E-2</v>
      </c>
      <c r="J459">
        <v>47</v>
      </c>
      <c r="K459">
        <v>4</v>
      </c>
      <c r="L459">
        <v>7.8</v>
      </c>
    </row>
    <row r="460" spans="1:12" x14ac:dyDescent="0.2">
      <c r="A460">
        <v>79</v>
      </c>
      <c r="B460">
        <v>3761</v>
      </c>
      <c r="C460">
        <v>155</v>
      </c>
      <c r="D460">
        <v>0.76900000000000002</v>
      </c>
      <c r="E460" s="3">
        <v>9.0999999999999998E-2</v>
      </c>
      <c r="F460">
        <v>0.23100000000000001</v>
      </c>
      <c r="G460">
        <v>0.80600000000000005</v>
      </c>
      <c r="H460" s="3">
        <v>0.90300000000000002</v>
      </c>
      <c r="I460" s="3">
        <f t="shared" si="7"/>
        <v>9.6999999999999975E-2</v>
      </c>
      <c r="J460">
        <v>54</v>
      </c>
      <c r="K460">
        <v>5</v>
      </c>
      <c r="L460">
        <v>7.3</v>
      </c>
    </row>
    <row r="461" spans="1:12" x14ac:dyDescent="0.2">
      <c r="A461">
        <v>84</v>
      </c>
      <c r="B461">
        <v>4119</v>
      </c>
      <c r="C461">
        <v>178</v>
      </c>
      <c r="D461">
        <v>0.76900000000000002</v>
      </c>
      <c r="E461" s="3">
        <v>2.8000000000000001E-2</v>
      </c>
      <c r="F461">
        <v>6.7000000000000004E-2</v>
      </c>
      <c r="G461">
        <v>0.76700000000000002</v>
      </c>
      <c r="H461" s="3">
        <v>0.93700000000000006</v>
      </c>
      <c r="I461" s="3">
        <f t="shared" si="7"/>
        <v>6.2999999999999945E-2</v>
      </c>
      <c r="J461">
        <v>81</v>
      </c>
      <c r="K461">
        <v>18</v>
      </c>
      <c r="L461">
        <v>9</v>
      </c>
    </row>
    <row r="462" spans="1:12" x14ac:dyDescent="0.2">
      <c r="A462">
        <v>41</v>
      </c>
      <c r="B462">
        <v>1835</v>
      </c>
      <c r="C462">
        <v>172</v>
      </c>
      <c r="D462">
        <v>0.77100000000000002</v>
      </c>
      <c r="E462" s="3">
        <v>0.14499999999999999</v>
      </c>
      <c r="F462">
        <v>0.245</v>
      </c>
      <c r="G462">
        <v>0.91900000000000004</v>
      </c>
      <c r="H462" s="3">
        <v>0.92700000000000005</v>
      </c>
      <c r="I462" s="3">
        <f t="shared" si="7"/>
        <v>7.2999999999999954E-2</v>
      </c>
      <c r="J462">
        <v>90</v>
      </c>
      <c r="K462">
        <v>4</v>
      </c>
      <c r="L462">
        <v>1.5</v>
      </c>
    </row>
    <row r="463" spans="1:12" x14ac:dyDescent="0.2">
      <c r="A463">
        <v>26</v>
      </c>
      <c r="B463">
        <v>1158</v>
      </c>
      <c r="C463">
        <v>141</v>
      </c>
      <c r="D463">
        <v>0.77200000000000002</v>
      </c>
      <c r="E463" s="3">
        <v>0.107</v>
      </c>
      <c r="F463">
        <v>0.17499999999999999</v>
      </c>
      <c r="G463">
        <v>0.72299999999999998</v>
      </c>
      <c r="H463" s="3">
        <v>0.90100000000000002</v>
      </c>
      <c r="I463" s="3">
        <f t="shared" si="7"/>
        <v>9.8999999999999977E-2</v>
      </c>
      <c r="J463">
        <v>98</v>
      </c>
      <c r="K463">
        <v>2</v>
      </c>
      <c r="L463">
        <v>5</v>
      </c>
    </row>
    <row r="464" spans="1:12" x14ac:dyDescent="0.2">
      <c r="A464">
        <v>73</v>
      </c>
      <c r="B464">
        <v>3525</v>
      </c>
      <c r="C464">
        <v>158</v>
      </c>
      <c r="D464">
        <v>0.77200000000000002</v>
      </c>
      <c r="E464" s="3">
        <v>0.08</v>
      </c>
      <c r="F464">
        <v>9.0999999999999998E-2</v>
      </c>
      <c r="G464">
        <v>0.86799999999999999</v>
      </c>
      <c r="H464" s="3">
        <v>0.97799999999999998</v>
      </c>
      <c r="I464" s="3">
        <f t="shared" si="7"/>
        <v>2.200000000000002E-2</v>
      </c>
      <c r="J464">
        <v>18</v>
      </c>
      <c r="K464">
        <v>8</v>
      </c>
      <c r="L464">
        <v>12.7</v>
      </c>
    </row>
    <row r="465" spans="1:12" x14ac:dyDescent="0.2">
      <c r="A465">
        <v>77</v>
      </c>
      <c r="B465">
        <v>3659</v>
      </c>
      <c r="C465">
        <v>55</v>
      </c>
      <c r="D465">
        <v>0.77200000000000002</v>
      </c>
      <c r="E465" s="3">
        <v>0.18099999999999999</v>
      </c>
      <c r="F465">
        <v>0.221</v>
      </c>
      <c r="G465">
        <v>0.86799999999999999</v>
      </c>
      <c r="H465" s="3">
        <v>0.92700000000000005</v>
      </c>
      <c r="I465" s="3">
        <f t="shared" si="7"/>
        <v>7.2999999999999954E-2</v>
      </c>
      <c r="J465">
        <v>10</v>
      </c>
      <c r="K465">
        <v>11</v>
      </c>
      <c r="L465">
        <v>11.6</v>
      </c>
    </row>
    <row r="466" spans="1:12" x14ac:dyDescent="0.2">
      <c r="A466">
        <v>85</v>
      </c>
      <c r="B466">
        <v>4161</v>
      </c>
      <c r="C466">
        <v>161</v>
      </c>
      <c r="D466">
        <v>0.77200000000000002</v>
      </c>
      <c r="E466" s="3">
        <v>2.7E-2</v>
      </c>
      <c r="F466">
        <v>0.185</v>
      </c>
      <c r="G466">
        <v>0.97299999999999998</v>
      </c>
      <c r="H466" s="3">
        <v>0.98</v>
      </c>
      <c r="I466" s="3">
        <f t="shared" si="7"/>
        <v>2.0000000000000018E-2</v>
      </c>
      <c r="J466">
        <v>13</v>
      </c>
      <c r="K466">
        <v>15</v>
      </c>
      <c r="L466">
        <v>12.1</v>
      </c>
    </row>
    <row r="467" spans="1:12" x14ac:dyDescent="0.2">
      <c r="A467">
        <v>24</v>
      </c>
      <c r="B467">
        <v>1032</v>
      </c>
      <c r="C467">
        <v>125</v>
      </c>
      <c r="D467">
        <v>0.77300000000000002</v>
      </c>
      <c r="E467" s="3">
        <v>1.4E-2</v>
      </c>
      <c r="F467">
        <v>6.4000000000000001E-2</v>
      </c>
      <c r="G467">
        <v>0.81</v>
      </c>
      <c r="H467" s="3">
        <v>0.94799999999999995</v>
      </c>
      <c r="I467" s="3">
        <f t="shared" si="7"/>
        <v>5.2000000000000046E-2</v>
      </c>
      <c r="J467">
        <v>38</v>
      </c>
      <c r="K467">
        <v>6</v>
      </c>
      <c r="L467">
        <v>2.9</v>
      </c>
    </row>
    <row r="468" spans="1:12" x14ac:dyDescent="0.2">
      <c r="A468">
        <v>41</v>
      </c>
      <c r="B468">
        <v>1976</v>
      </c>
      <c r="C468">
        <v>149</v>
      </c>
      <c r="D468">
        <v>0.77300000000000002</v>
      </c>
      <c r="E468" s="3">
        <v>9.2999999999999999E-2</v>
      </c>
      <c r="F468">
        <v>7.2999999999999995E-2</v>
      </c>
      <c r="G468">
        <v>0.76700000000000002</v>
      </c>
      <c r="H468" s="3">
        <v>0.94199999999999995</v>
      </c>
      <c r="I468" s="3">
        <f t="shared" si="7"/>
        <v>5.8000000000000052E-2</v>
      </c>
      <c r="J468">
        <v>55</v>
      </c>
      <c r="K468">
        <v>1</v>
      </c>
      <c r="L468">
        <v>13.8</v>
      </c>
    </row>
    <row r="469" spans="1:12" x14ac:dyDescent="0.2">
      <c r="A469">
        <v>85</v>
      </c>
      <c r="B469">
        <v>4090</v>
      </c>
      <c r="C469">
        <v>12</v>
      </c>
      <c r="D469">
        <v>0.77300000000000002</v>
      </c>
      <c r="E469" s="3">
        <v>0.16400000000000001</v>
      </c>
      <c r="F469">
        <v>0.112</v>
      </c>
      <c r="G469">
        <v>0.97399999999999998</v>
      </c>
      <c r="H469" s="3">
        <v>0.98099999999999998</v>
      </c>
      <c r="I469" s="3">
        <f t="shared" si="7"/>
        <v>1.9000000000000017E-2</v>
      </c>
      <c r="J469">
        <v>37</v>
      </c>
      <c r="K469">
        <v>0</v>
      </c>
      <c r="L469">
        <v>4.0999999999999996</v>
      </c>
    </row>
    <row r="470" spans="1:12" x14ac:dyDescent="0.2">
      <c r="A470">
        <v>84</v>
      </c>
      <c r="B470">
        <v>4116</v>
      </c>
      <c r="C470">
        <v>108</v>
      </c>
      <c r="D470">
        <v>0.77300000000000002</v>
      </c>
      <c r="E470" s="3">
        <v>8.4000000000000005E-2</v>
      </c>
      <c r="F470">
        <v>0.10199999999999999</v>
      </c>
      <c r="G470">
        <v>0.97</v>
      </c>
      <c r="H470" s="3">
        <v>0.95699999999999996</v>
      </c>
      <c r="I470" s="3">
        <f t="shared" si="7"/>
        <v>4.3000000000000038E-2</v>
      </c>
      <c r="J470">
        <v>95</v>
      </c>
      <c r="K470">
        <v>11</v>
      </c>
      <c r="L470">
        <v>4</v>
      </c>
    </row>
    <row r="471" spans="1:12" x14ac:dyDescent="0.2">
      <c r="A471">
        <v>59</v>
      </c>
      <c r="B471">
        <v>2771</v>
      </c>
      <c r="C471">
        <v>59</v>
      </c>
      <c r="D471">
        <v>0.77400000000000002</v>
      </c>
      <c r="E471" s="3">
        <v>0.14799999999999999</v>
      </c>
      <c r="F471">
        <v>0.214</v>
      </c>
      <c r="G471">
        <v>0.97099999999999997</v>
      </c>
      <c r="H471" s="3">
        <v>0.9</v>
      </c>
      <c r="I471" s="3">
        <f t="shared" si="7"/>
        <v>9.9999999999999978E-2</v>
      </c>
      <c r="J471">
        <v>20</v>
      </c>
      <c r="K471">
        <v>10</v>
      </c>
      <c r="L471">
        <v>9.8000000000000007</v>
      </c>
    </row>
    <row r="472" spans="1:12" x14ac:dyDescent="0.2">
      <c r="A472">
        <v>65</v>
      </c>
      <c r="B472">
        <v>2982</v>
      </c>
      <c r="C472">
        <v>23</v>
      </c>
      <c r="D472">
        <v>0.77500000000000002</v>
      </c>
      <c r="E472" s="3">
        <v>0.14199999999999999</v>
      </c>
      <c r="F472">
        <v>0.23699999999999999</v>
      </c>
      <c r="G472">
        <v>0.73799999999999999</v>
      </c>
      <c r="H472" s="3">
        <v>0.93400000000000005</v>
      </c>
      <c r="I472" s="3">
        <f t="shared" si="7"/>
        <v>6.5999999999999948E-2</v>
      </c>
      <c r="J472">
        <v>4</v>
      </c>
      <c r="K472">
        <v>15</v>
      </c>
      <c r="L472">
        <v>3.4</v>
      </c>
    </row>
    <row r="473" spans="1:12" x14ac:dyDescent="0.2">
      <c r="A473">
        <v>75</v>
      </c>
      <c r="B473">
        <v>3624</v>
      </c>
      <c r="C473">
        <v>30</v>
      </c>
      <c r="D473">
        <v>0.77600000000000002</v>
      </c>
      <c r="E473" s="3">
        <v>0.124</v>
      </c>
      <c r="F473">
        <v>0.28299999999999997</v>
      </c>
      <c r="G473">
        <v>0.83699999999999997</v>
      </c>
      <c r="H473" s="3">
        <v>0.94499999999999995</v>
      </c>
      <c r="I473" s="3">
        <f t="shared" si="7"/>
        <v>5.5000000000000049E-2</v>
      </c>
      <c r="J473">
        <v>66</v>
      </c>
      <c r="K473">
        <v>9</v>
      </c>
      <c r="L473">
        <v>7.6</v>
      </c>
    </row>
    <row r="474" spans="1:12" x14ac:dyDescent="0.2">
      <c r="A474">
        <v>98</v>
      </c>
      <c r="B474">
        <v>4758</v>
      </c>
      <c r="C474">
        <v>119</v>
      </c>
      <c r="D474">
        <v>0.77600000000000002</v>
      </c>
      <c r="E474" s="3">
        <v>0.114</v>
      </c>
      <c r="F474">
        <v>0.216</v>
      </c>
      <c r="G474">
        <v>0.71299999999999997</v>
      </c>
      <c r="H474" s="3">
        <v>0.997</v>
      </c>
      <c r="I474" s="3">
        <f t="shared" si="7"/>
        <v>3.0000000000000027E-3</v>
      </c>
      <c r="J474">
        <v>92</v>
      </c>
      <c r="K474">
        <v>14</v>
      </c>
      <c r="L474">
        <v>14.7</v>
      </c>
    </row>
    <row r="475" spans="1:12" x14ac:dyDescent="0.2">
      <c r="A475">
        <v>91</v>
      </c>
      <c r="B475">
        <v>4410</v>
      </c>
      <c r="C475">
        <v>32</v>
      </c>
      <c r="D475">
        <v>0.77700000000000002</v>
      </c>
      <c r="E475" s="3">
        <v>0.183</v>
      </c>
      <c r="F475">
        <v>0.23499999999999999</v>
      </c>
      <c r="G475">
        <v>0.85399999999999998</v>
      </c>
      <c r="H475" s="3">
        <v>0.94099999999999995</v>
      </c>
      <c r="I475" s="3">
        <f t="shared" si="7"/>
        <v>5.9000000000000052E-2</v>
      </c>
      <c r="J475">
        <v>1</v>
      </c>
      <c r="K475">
        <v>2</v>
      </c>
      <c r="L475">
        <v>4.4000000000000004</v>
      </c>
    </row>
    <row r="476" spans="1:12" x14ac:dyDescent="0.2">
      <c r="A476">
        <v>51</v>
      </c>
      <c r="B476">
        <v>2309</v>
      </c>
      <c r="C476">
        <v>11</v>
      </c>
      <c r="D476">
        <v>0.77900000000000003</v>
      </c>
      <c r="E476" s="3">
        <v>0.17199999999999999</v>
      </c>
      <c r="F476">
        <v>0.29699999999999999</v>
      </c>
      <c r="G476">
        <v>0.71499999999999997</v>
      </c>
      <c r="H476" s="3">
        <v>0.90600000000000003</v>
      </c>
      <c r="I476" s="3">
        <f t="shared" si="7"/>
        <v>9.3999999999999972E-2</v>
      </c>
      <c r="J476">
        <v>13</v>
      </c>
      <c r="K476">
        <v>6</v>
      </c>
      <c r="L476">
        <v>8</v>
      </c>
    </row>
    <row r="477" spans="1:12" x14ac:dyDescent="0.2">
      <c r="A477">
        <v>51</v>
      </c>
      <c r="B477">
        <v>2380</v>
      </c>
      <c r="C477">
        <v>31</v>
      </c>
      <c r="D477">
        <v>0.77900000000000003</v>
      </c>
      <c r="E477" s="3">
        <v>0.16900000000000001</v>
      </c>
      <c r="F477">
        <v>0.24</v>
      </c>
      <c r="G477">
        <v>0.88300000000000001</v>
      </c>
      <c r="H477" s="3">
        <v>0.94</v>
      </c>
      <c r="I477" s="3">
        <f t="shared" si="7"/>
        <v>6.0000000000000053E-2</v>
      </c>
      <c r="J477">
        <v>51</v>
      </c>
      <c r="K477">
        <v>15</v>
      </c>
      <c r="L477">
        <v>8.5</v>
      </c>
    </row>
    <row r="478" spans="1:12" x14ac:dyDescent="0.2">
      <c r="A478">
        <v>58</v>
      </c>
      <c r="B478">
        <v>2767</v>
      </c>
      <c r="C478">
        <v>16</v>
      </c>
      <c r="D478">
        <v>0.77900000000000003</v>
      </c>
      <c r="E478" s="3">
        <v>0.114</v>
      </c>
      <c r="F478">
        <v>0.249</v>
      </c>
      <c r="G478">
        <v>0.96199999999999997</v>
      </c>
      <c r="H478" s="3">
        <v>0.91600000000000004</v>
      </c>
      <c r="I478" s="3">
        <f t="shared" si="7"/>
        <v>8.3999999999999964E-2</v>
      </c>
      <c r="J478">
        <v>61</v>
      </c>
      <c r="K478">
        <v>5</v>
      </c>
      <c r="L478">
        <v>6.7</v>
      </c>
    </row>
    <row r="479" spans="1:12" x14ac:dyDescent="0.2">
      <c r="A479">
        <v>64</v>
      </c>
      <c r="B479">
        <v>3156</v>
      </c>
      <c r="C479">
        <v>176</v>
      </c>
      <c r="D479">
        <v>0.77900000000000003</v>
      </c>
      <c r="E479" s="3">
        <v>0.16200000000000001</v>
      </c>
      <c r="F479">
        <v>9.7000000000000003E-2</v>
      </c>
      <c r="G479">
        <v>0.89300000000000002</v>
      </c>
      <c r="H479" s="3">
        <v>0.93200000000000005</v>
      </c>
      <c r="I479" s="3">
        <f t="shared" si="7"/>
        <v>6.7999999999999949E-2</v>
      </c>
      <c r="J479">
        <v>12</v>
      </c>
      <c r="K479">
        <v>15</v>
      </c>
      <c r="L479">
        <v>1.8</v>
      </c>
    </row>
    <row r="480" spans="1:12" x14ac:dyDescent="0.2">
      <c r="A480">
        <v>86</v>
      </c>
      <c r="B480">
        <v>4220</v>
      </c>
      <c r="C480">
        <v>35</v>
      </c>
      <c r="D480">
        <v>0.78100000000000003</v>
      </c>
      <c r="E480" s="3">
        <v>9.2999999999999999E-2</v>
      </c>
      <c r="F480">
        <v>0.23499999999999999</v>
      </c>
      <c r="G480">
        <v>0.872</v>
      </c>
      <c r="H480" s="3">
        <v>0.99</v>
      </c>
      <c r="I480" s="3">
        <f t="shared" si="7"/>
        <v>1.0000000000000009E-2</v>
      </c>
      <c r="J480">
        <v>61</v>
      </c>
      <c r="K480">
        <v>9</v>
      </c>
      <c r="L480">
        <v>9.6</v>
      </c>
    </row>
    <row r="481" spans="1:12" x14ac:dyDescent="0.2">
      <c r="A481">
        <v>96</v>
      </c>
      <c r="B481">
        <v>4565</v>
      </c>
      <c r="C481">
        <v>29</v>
      </c>
      <c r="D481">
        <v>0.78100000000000003</v>
      </c>
      <c r="E481" s="3">
        <v>0.182</v>
      </c>
      <c r="F481">
        <v>0.255</v>
      </c>
      <c r="G481">
        <v>0.93300000000000005</v>
      </c>
      <c r="H481" s="3">
        <v>0.99099999999999999</v>
      </c>
      <c r="I481" s="3">
        <f t="shared" si="7"/>
        <v>9.000000000000008E-3</v>
      </c>
      <c r="J481">
        <v>19</v>
      </c>
      <c r="K481">
        <v>18</v>
      </c>
      <c r="L481">
        <v>7.6</v>
      </c>
    </row>
    <row r="482" spans="1:12" x14ac:dyDescent="0.2">
      <c r="A482">
        <v>29</v>
      </c>
      <c r="B482">
        <v>1364</v>
      </c>
      <c r="C482">
        <v>61</v>
      </c>
      <c r="D482">
        <v>0.78200000000000003</v>
      </c>
      <c r="E482" s="3">
        <v>3.5000000000000003E-2</v>
      </c>
      <c r="F482">
        <v>0.13700000000000001</v>
      </c>
      <c r="G482">
        <v>0.95899999999999996</v>
      </c>
      <c r="H482" s="3">
        <v>0.92600000000000005</v>
      </c>
      <c r="I482" s="3">
        <f t="shared" si="7"/>
        <v>7.3999999999999955E-2</v>
      </c>
      <c r="J482">
        <v>18</v>
      </c>
      <c r="K482">
        <v>15</v>
      </c>
      <c r="L482">
        <v>4.2</v>
      </c>
    </row>
    <row r="483" spans="1:12" x14ac:dyDescent="0.2">
      <c r="A483">
        <v>46</v>
      </c>
      <c r="B483">
        <v>2088</v>
      </c>
      <c r="C483">
        <v>109</v>
      </c>
      <c r="D483">
        <v>0.78200000000000003</v>
      </c>
      <c r="E483" s="3">
        <v>0.14099999999999999</v>
      </c>
      <c r="F483">
        <v>0.20899999999999999</v>
      </c>
      <c r="G483">
        <v>0.75700000000000001</v>
      </c>
      <c r="H483" s="3">
        <v>0.99299999999999999</v>
      </c>
      <c r="I483" s="3">
        <f t="shared" si="7"/>
        <v>7.0000000000000062E-3</v>
      </c>
      <c r="J483">
        <v>13</v>
      </c>
      <c r="K483">
        <v>15</v>
      </c>
      <c r="L483">
        <v>14.7</v>
      </c>
    </row>
    <row r="484" spans="1:12" x14ac:dyDescent="0.2">
      <c r="A484">
        <v>50</v>
      </c>
      <c r="B484">
        <v>2316</v>
      </c>
      <c r="C484">
        <v>159</v>
      </c>
      <c r="D484">
        <v>0.78200000000000003</v>
      </c>
      <c r="E484" s="3">
        <v>4.5999999999999999E-2</v>
      </c>
      <c r="F484">
        <v>0.157</v>
      </c>
      <c r="G484">
        <v>0.88700000000000001</v>
      </c>
      <c r="H484" s="3">
        <v>0.90400000000000003</v>
      </c>
      <c r="I484" s="3">
        <f t="shared" si="7"/>
        <v>9.5999999999999974E-2</v>
      </c>
      <c r="J484">
        <v>89</v>
      </c>
      <c r="K484">
        <v>6</v>
      </c>
      <c r="L484">
        <v>9.8000000000000007</v>
      </c>
    </row>
    <row r="485" spans="1:12" x14ac:dyDescent="0.2">
      <c r="A485">
        <v>77</v>
      </c>
      <c r="B485">
        <v>3587</v>
      </c>
      <c r="C485">
        <v>66</v>
      </c>
      <c r="D485">
        <v>0.78200000000000003</v>
      </c>
      <c r="E485" s="3">
        <v>3.9E-2</v>
      </c>
      <c r="F485">
        <v>0.245</v>
      </c>
      <c r="G485">
        <v>0.97499999999999998</v>
      </c>
      <c r="H485" s="3">
        <v>0.95799999999999996</v>
      </c>
      <c r="I485" s="3">
        <f t="shared" si="7"/>
        <v>4.2000000000000037E-2</v>
      </c>
      <c r="J485">
        <v>79</v>
      </c>
      <c r="K485">
        <v>11</v>
      </c>
      <c r="L485">
        <v>1.2</v>
      </c>
    </row>
    <row r="486" spans="1:12" x14ac:dyDescent="0.2">
      <c r="A486">
        <v>75</v>
      </c>
      <c r="B486">
        <v>3721</v>
      </c>
      <c r="C486">
        <v>93</v>
      </c>
      <c r="D486">
        <v>0.78300000000000003</v>
      </c>
      <c r="E486" s="3">
        <v>0.17299999999999999</v>
      </c>
      <c r="F486">
        <v>0.13200000000000001</v>
      </c>
      <c r="G486">
        <v>0.84299999999999997</v>
      </c>
      <c r="H486" s="3">
        <v>0.94299999999999995</v>
      </c>
      <c r="I486" s="3">
        <f t="shared" si="7"/>
        <v>5.7000000000000051E-2</v>
      </c>
      <c r="J486">
        <v>3</v>
      </c>
      <c r="K486">
        <v>5</v>
      </c>
      <c r="L486">
        <v>11.6</v>
      </c>
    </row>
    <row r="487" spans="1:12" x14ac:dyDescent="0.2">
      <c r="A487">
        <v>34</v>
      </c>
      <c r="B487">
        <v>1581</v>
      </c>
      <c r="C487">
        <v>132</v>
      </c>
      <c r="D487">
        <v>0.78400000000000003</v>
      </c>
      <c r="E487" s="3">
        <v>3.3000000000000002E-2</v>
      </c>
      <c r="F487">
        <v>0.221</v>
      </c>
      <c r="G487">
        <v>0.86299999999999999</v>
      </c>
      <c r="H487" s="3">
        <v>0.96299999999999997</v>
      </c>
      <c r="I487" s="3">
        <f t="shared" si="7"/>
        <v>3.7000000000000033E-2</v>
      </c>
      <c r="J487">
        <v>43</v>
      </c>
      <c r="K487">
        <v>8</v>
      </c>
      <c r="L487">
        <v>7.6</v>
      </c>
    </row>
    <row r="488" spans="1:12" x14ac:dyDescent="0.2">
      <c r="A488">
        <v>69</v>
      </c>
      <c r="B488">
        <v>3329</v>
      </c>
      <c r="C488">
        <v>187</v>
      </c>
      <c r="D488">
        <v>0.78400000000000003</v>
      </c>
      <c r="E488" s="3">
        <v>6.6000000000000003E-2</v>
      </c>
      <c r="F488">
        <v>0.17100000000000001</v>
      </c>
      <c r="G488">
        <v>0.74</v>
      </c>
      <c r="H488" s="3">
        <v>0.92500000000000004</v>
      </c>
      <c r="I488" s="3">
        <f t="shared" si="7"/>
        <v>7.4999999999999956E-2</v>
      </c>
      <c r="J488">
        <v>99</v>
      </c>
      <c r="K488">
        <v>14</v>
      </c>
      <c r="L488">
        <v>6.9</v>
      </c>
    </row>
    <row r="489" spans="1:12" x14ac:dyDescent="0.2">
      <c r="A489">
        <v>83</v>
      </c>
      <c r="B489">
        <v>3971</v>
      </c>
      <c r="C489">
        <v>48</v>
      </c>
      <c r="D489">
        <v>0.78400000000000003</v>
      </c>
      <c r="E489" s="3">
        <v>0.186</v>
      </c>
      <c r="F489">
        <v>0.246</v>
      </c>
      <c r="G489">
        <v>0.98899999999999999</v>
      </c>
      <c r="H489" s="3">
        <v>0.96499999999999997</v>
      </c>
      <c r="I489" s="3">
        <f t="shared" si="7"/>
        <v>3.5000000000000031E-2</v>
      </c>
      <c r="J489">
        <v>34</v>
      </c>
      <c r="K489">
        <v>17</v>
      </c>
      <c r="L489">
        <v>10.8</v>
      </c>
    </row>
    <row r="490" spans="1:12" x14ac:dyDescent="0.2">
      <c r="A490">
        <v>99</v>
      </c>
      <c r="B490">
        <v>4682</v>
      </c>
      <c r="C490">
        <v>84</v>
      </c>
      <c r="D490">
        <v>0.78500000000000003</v>
      </c>
      <c r="E490" s="3">
        <v>0.13900000000000001</v>
      </c>
      <c r="F490">
        <v>0.27</v>
      </c>
      <c r="G490">
        <v>0.75600000000000001</v>
      </c>
      <c r="H490" s="3">
        <v>0.90600000000000003</v>
      </c>
      <c r="I490" s="3">
        <f t="shared" si="7"/>
        <v>9.3999999999999972E-2</v>
      </c>
      <c r="J490">
        <v>23</v>
      </c>
      <c r="K490">
        <v>13</v>
      </c>
      <c r="L490">
        <v>2.4</v>
      </c>
    </row>
    <row r="491" spans="1:12" x14ac:dyDescent="0.2">
      <c r="A491">
        <v>100</v>
      </c>
      <c r="B491">
        <v>4747</v>
      </c>
      <c r="C491">
        <v>82</v>
      </c>
      <c r="D491">
        <v>0.78500000000000003</v>
      </c>
      <c r="E491" s="3">
        <v>7.6999999999999999E-2</v>
      </c>
      <c r="F491">
        <v>7.2999999999999995E-2</v>
      </c>
      <c r="G491">
        <v>0.73499999999999999</v>
      </c>
      <c r="H491" s="3">
        <v>0.90700000000000003</v>
      </c>
      <c r="I491" s="3">
        <f t="shared" si="7"/>
        <v>9.2999999999999972E-2</v>
      </c>
      <c r="J491">
        <v>47</v>
      </c>
      <c r="K491">
        <v>8</v>
      </c>
      <c r="L491">
        <v>9.6999999999999993</v>
      </c>
    </row>
    <row r="492" spans="1:12" x14ac:dyDescent="0.2">
      <c r="A492">
        <v>46</v>
      </c>
      <c r="B492">
        <v>2116</v>
      </c>
      <c r="C492">
        <v>36</v>
      </c>
      <c r="D492">
        <v>0.78600000000000003</v>
      </c>
      <c r="E492" s="3">
        <v>0.10100000000000001</v>
      </c>
      <c r="F492">
        <v>0.14399999999999999</v>
      </c>
      <c r="G492">
        <v>0.94199999999999995</v>
      </c>
      <c r="H492" s="3">
        <v>0.91800000000000004</v>
      </c>
      <c r="I492" s="3">
        <f t="shared" si="7"/>
        <v>8.1999999999999962E-2</v>
      </c>
      <c r="J492">
        <v>10</v>
      </c>
      <c r="K492">
        <v>3</v>
      </c>
      <c r="L492">
        <v>8.8000000000000007</v>
      </c>
    </row>
    <row r="493" spans="1:12" x14ac:dyDescent="0.2">
      <c r="A493">
        <v>82</v>
      </c>
      <c r="B493">
        <v>3841</v>
      </c>
      <c r="C493">
        <v>68</v>
      </c>
      <c r="D493">
        <v>0.78600000000000003</v>
      </c>
      <c r="E493" s="3">
        <v>4.8000000000000001E-2</v>
      </c>
      <c r="F493">
        <v>0.17399999999999999</v>
      </c>
      <c r="G493">
        <v>0.90600000000000003</v>
      </c>
      <c r="H493" s="3">
        <v>0.95599999999999996</v>
      </c>
      <c r="I493" s="3">
        <f t="shared" si="7"/>
        <v>4.4000000000000039E-2</v>
      </c>
      <c r="J493">
        <v>73</v>
      </c>
      <c r="K493">
        <v>1</v>
      </c>
      <c r="L493">
        <v>1.6</v>
      </c>
    </row>
    <row r="494" spans="1:12" x14ac:dyDescent="0.2">
      <c r="A494">
        <v>96</v>
      </c>
      <c r="B494">
        <v>4667</v>
      </c>
      <c r="C494">
        <v>37</v>
      </c>
      <c r="D494">
        <v>0.78600000000000003</v>
      </c>
      <c r="E494" s="3">
        <v>0.158</v>
      </c>
      <c r="F494">
        <v>0.187</v>
      </c>
      <c r="G494">
        <v>0.70699999999999996</v>
      </c>
      <c r="H494" s="3">
        <v>0.95799999999999996</v>
      </c>
      <c r="I494" s="3">
        <f t="shared" si="7"/>
        <v>4.2000000000000037E-2</v>
      </c>
      <c r="J494">
        <v>26</v>
      </c>
      <c r="K494">
        <v>17</v>
      </c>
      <c r="L494">
        <v>4.4000000000000004</v>
      </c>
    </row>
    <row r="495" spans="1:12" x14ac:dyDescent="0.2">
      <c r="A495">
        <v>32</v>
      </c>
      <c r="B495">
        <v>1488</v>
      </c>
      <c r="C495">
        <v>136</v>
      </c>
      <c r="D495">
        <v>0.78700000000000003</v>
      </c>
      <c r="E495" s="3">
        <v>8.2000000000000003E-2</v>
      </c>
      <c r="F495">
        <v>0.28699999999999998</v>
      </c>
      <c r="G495">
        <v>0.753</v>
      </c>
      <c r="H495" s="3">
        <v>0.92500000000000004</v>
      </c>
      <c r="I495" s="3">
        <f t="shared" si="7"/>
        <v>7.4999999999999956E-2</v>
      </c>
      <c r="J495">
        <v>35</v>
      </c>
      <c r="K495">
        <v>7</v>
      </c>
      <c r="L495">
        <v>12.6</v>
      </c>
    </row>
    <row r="496" spans="1:12" x14ac:dyDescent="0.2">
      <c r="A496">
        <v>46</v>
      </c>
      <c r="B496">
        <v>2051</v>
      </c>
      <c r="C496">
        <v>80</v>
      </c>
      <c r="D496">
        <v>0.78700000000000003</v>
      </c>
      <c r="E496" s="3">
        <v>0.16800000000000001</v>
      </c>
      <c r="F496">
        <v>0.13500000000000001</v>
      </c>
      <c r="G496">
        <v>0.9</v>
      </c>
      <c r="H496" s="3">
        <v>0.95799999999999996</v>
      </c>
      <c r="I496" s="3">
        <f t="shared" si="7"/>
        <v>4.2000000000000037E-2</v>
      </c>
      <c r="J496">
        <v>95</v>
      </c>
      <c r="K496">
        <v>2</v>
      </c>
      <c r="L496">
        <v>8.9</v>
      </c>
    </row>
    <row r="497" spans="1:12" x14ac:dyDescent="0.2">
      <c r="A497">
        <v>77</v>
      </c>
      <c r="B497">
        <v>3640</v>
      </c>
      <c r="C497">
        <v>23</v>
      </c>
      <c r="D497">
        <v>0.78800000000000003</v>
      </c>
      <c r="E497" s="3">
        <v>0.161</v>
      </c>
      <c r="F497">
        <v>0.06</v>
      </c>
      <c r="G497">
        <v>0.72299999999999998</v>
      </c>
      <c r="H497" s="3">
        <v>0.93799999999999994</v>
      </c>
      <c r="I497" s="3">
        <f t="shared" si="7"/>
        <v>6.2000000000000055E-2</v>
      </c>
      <c r="J497">
        <v>57</v>
      </c>
      <c r="K497">
        <v>1</v>
      </c>
      <c r="L497">
        <v>1.8</v>
      </c>
    </row>
    <row r="498" spans="1:12" x14ac:dyDescent="0.2">
      <c r="A498">
        <v>92</v>
      </c>
      <c r="B498">
        <v>4363</v>
      </c>
      <c r="C498">
        <v>107</v>
      </c>
      <c r="D498">
        <v>0.78800000000000003</v>
      </c>
      <c r="E498" s="3">
        <v>4.2000000000000003E-2</v>
      </c>
      <c r="F498">
        <v>6.8000000000000005E-2</v>
      </c>
      <c r="G498">
        <v>0.76200000000000001</v>
      </c>
      <c r="H498" s="3">
        <v>0.93300000000000005</v>
      </c>
      <c r="I498" s="3">
        <f t="shared" si="7"/>
        <v>6.6999999999999948E-2</v>
      </c>
      <c r="J498">
        <v>85</v>
      </c>
      <c r="K498">
        <v>12</v>
      </c>
      <c r="L498">
        <v>2.2000000000000002</v>
      </c>
    </row>
    <row r="499" spans="1:12" x14ac:dyDescent="0.2">
      <c r="A499">
        <v>100</v>
      </c>
      <c r="B499">
        <v>4752</v>
      </c>
      <c r="C499">
        <v>196</v>
      </c>
      <c r="D499">
        <v>0.78800000000000003</v>
      </c>
      <c r="E499" s="3">
        <v>0.2</v>
      </c>
      <c r="F499">
        <v>0.14000000000000001</v>
      </c>
      <c r="G499">
        <v>0.90400000000000003</v>
      </c>
      <c r="H499" s="3">
        <v>0.94399999999999995</v>
      </c>
      <c r="I499" s="3">
        <f t="shared" si="7"/>
        <v>5.600000000000005E-2</v>
      </c>
      <c r="J499">
        <v>53</v>
      </c>
      <c r="K499">
        <v>4</v>
      </c>
      <c r="L499">
        <v>9.4</v>
      </c>
    </row>
    <row r="500" spans="1:12" x14ac:dyDescent="0.2">
      <c r="A500">
        <v>35</v>
      </c>
      <c r="B500">
        <v>1650</v>
      </c>
      <c r="C500">
        <v>51</v>
      </c>
      <c r="D500">
        <v>0.78900000000000003</v>
      </c>
      <c r="E500" s="3">
        <v>8.7999999999999995E-2</v>
      </c>
      <c r="F500">
        <v>0.28100000000000003</v>
      </c>
      <c r="G500">
        <v>0.84399999999999997</v>
      </c>
      <c r="H500" s="3">
        <v>0.97</v>
      </c>
      <c r="I500" s="3">
        <f t="shared" si="7"/>
        <v>3.0000000000000027E-2</v>
      </c>
      <c r="J500">
        <v>78</v>
      </c>
      <c r="K500">
        <v>13</v>
      </c>
      <c r="L500">
        <v>9.3000000000000007</v>
      </c>
    </row>
    <row r="501" spans="1:12" x14ac:dyDescent="0.2">
      <c r="A501">
        <v>84</v>
      </c>
      <c r="B501">
        <v>3960</v>
      </c>
      <c r="C501">
        <v>28</v>
      </c>
      <c r="D501">
        <v>0.78900000000000003</v>
      </c>
      <c r="E501" s="3">
        <v>4.1000000000000002E-2</v>
      </c>
      <c r="F501">
        <v>0.20599999999999999</v>
      </c>
      <c r="G501">
        <v>0.71499999999999997</v>
      </c>
      <c r="H501" s="3">
        <v>0.998</v>
      </c>
      <c r="I501" s="3">
        <f t="shared" si="7"/>
        <v>2.0000000000000018E-3</v>
      </c>
      <c r="J501">
        <v>53</v>
      </c>
      <c r="K501">
        <v>6</v>
      </c>
      <c r="L501">
        <v>10.6</v>
      </c>
    </row>
    <row r="502" spans="1:12" x14ac:dyDescent="0.2">
      <c r="A502">
        <v>47</v>
      </c>
      <c r="B502">
        <v>2301</v>
      </c>
      <c r="C502">
        <v>90</v>
      </c>
      <c r="D502">
        <v>0.79</v>
      </c>
      <c r="E502" s="3">
        <v>0.191</v>
      </c>
      <c r="F502">
        <v>6.4000000000000001E-2</v>
      </c>
      <c r="G502">
        <v>0.79800000000000004</v>
      </c>
      <c r="H502" s="3">
        <v>0.90400000000000003</v>
      </c>
      <c r="I502" s="3">
        <f t="shared" si="7"/>
        <v>9.5999999999999974E-2</v>
      </c>
      <c r="J502">
        <v>29</v>
      </c>
      <c r="K502">
        <v>8</v>
      </c>
      <c r="L502">
        <v>8.8000000000000007</v>
      </c>
    </row>
    <row r="503" spans="1:12" x14ac:dyDescent="0.2">
      <c r="A503">
        <v>49</v>
      </c>
      <c r="B503">
        <v>2402</v>
      </c>
      <c r="C503">
        <v>72</v>
      </c>
      <c r="D503">
        <v>0.79</v>
      </c>
      <c r="E503" s="3">
        <v>0.13900000000000001</v>
      </c>
      <c r="F503">
        <v>5.7000000000000002E-2</v>
      </c>
      <c r="G503">
        <v>0.96099999999999997</v>
      </c>
      <c r="H503" s="3">
        <v>0.95099999999999996</v>
      </c>
      <c r="I503" s="3">
        <f t="shared" si="7"/>
        <v>4.9000000000000044E-2</v>
      </c>
      <c r="J503">
        <v>34</v>
      </c>
      <c r="K503">
        <v>4</v>
      </c>
      <c r="L503">
        <v>6.2</v>
      </c>
    </row>
    <row r="504" spans="1:12" x14ac:dyDescent="0.2">
      <c r="A504">
        <v>81</v>
      </c>
      <c r="B504">
        <v>3838</v>
      </c>
      <c r="C504">
        <v>135</v>
      </c>
      <c r="D504">
        <v>0.79</v>
      </c>
      <c r="E504" s="3">
        <v>0.12</v>
      </c>
      <c r="F504">
        <v>0.14299999999999999</v>
      </c>
      <c r="G504">
        <v>0.72099999999999997</v>
      </c>
      <c r="H504" s="3">
        <v>0.998</v>
      </c>
      <c r="I504" s="3">
        <f t="shared" si="7"/>
        <v>2.0000000000000018E-3</v>
      </c>
      <c r="J504">
        <v>37</v>
      </c>
      <c r="K504">
        <v>19</v>
      </c>
      <c r="L504">
        <v>5.4</v>
      </c>
    </row>
    <row r="505" spans="1:12" x14ac:dyDescent="0.2">
      <c r="A505">
        <v>98</v>
      </c>
      <c r="B505">
        <v>4831</v>
      </c>
      <c r="C505">
        <v>49</v>
      </c>
      <c r="D505">
        <v>0.79100000000000004</v>
      </c>
      <c r="E505" s="3">
        <v>8.3000000000000004E-2</v>
      </c>
      <c r="F505">
        <v>0.156</v>
      </c>
      <c r="G505">
        <v>0.85799999999999998</v>
      </c>
      <c r="H505" s="3">
        <v>0.90500000000000003</v>
      </c>
      <c r="I505" s="3">
        <f t="shared" si="7"/>
        <v>9.4999999999999973E-2</v>
      </c>
      <c r="J505">
        <v>39</v>
      </c>
      <c r="K505">
        <v>6</v>
      </c>
      <c r="L505">
        <v>5.8</v>
      </c>
    </row>
    <row r="506" spans="1:12" x14ac:dyDescent="0.2">
      <c r="A506">
        <v>98</v>
      </c>
      <c r="B506">
        <v>4843</v>
      </c>
      <c r="C506">
        <v>25</v>
      </c>
      <c r="D506">
        <v>0.79100000000000004</v>
      </c>
      <c r="E506" s="3">
        <v>9.0999999999999998E-2</v>
      </c>
      <c r="F506">
        <v>0.14000000000000001</v>
      </c>
      <c r="G506">
        <v>0.91700000000000004</v>
      </c>
      <c r="H506" s="3">
        <v>0.91200000000000003</v>
      </c>
      <c r="I506" s="3">
        <f t="shared" si="7"/>
        <v>8.7999999999999967E-2</v>
      </c>
      <c r="J506">
        <v>88</v>
      </c>
      <c r="K506">
        <v>10</v>
      </c>
      <c r="L506">
        <v>13.9</v>
      </c>
    </row>
    <row r="507" spans="1:12" x14ac:dyDescent="0.2">
      <c r="A507">
        <v>40</v>
      </c>
      <c r="B507">
        <v>1902</v>
      </c>
      <c r="C507">
        <v>71</v>
      </c>
      <c r="D507">
        <v>0.79200000000000004</v>
      </c>
      <c r="E507" s="3">
        <v>0.112</v>
      </c>
      <c r="F507">
        <v>0.26900000000000002</v>
      </c>
      <c r="G507">
        <v>0.93</v>
      </c>
      <c r="H507" s="3">
        <v>0.96499999999999997</v>
      </c>
      <c r="I507" s="3">
        <f t="shared" si="7"/>
        <v>3.5000000000000031E-2</v>
      </c>
      <c r="J507">
        <v>84</v>
      </c>
      <c r="K507">
        <v>12</v>
      </c>
      <c r="L507">
        <v>14.7</v>
      </c>
    </row>
    <row r="508" spans="1:12" x14ac:dyDescent="0.2">
      <c r="A508">
        <v>52</v>
      </c>
      <c r="B508">
        <v>2475</v>
      </c>
      <c r="C508">
        <v>64</v>
      </c>
      <c r="D508">
        <v>0.79200000000000004</v>
      </c>
      <c r="E508" s="3">
        <v>2.3E-2</v>
      </c>
      <c r="F508">
        <v>6.8000000000000005E-2</v>
      </c>
      <c r="G508">
        <v>0.96899999999999997</v>
      </c>
      <c r="H508" s="3">
        <v>0.91200000000000003</v>
      </c>
      <c r="I508" s="3">
        <f t="shared" si="7"/>
        <v>8.7999999999999967E-2</v>
      </c>
      <c r="J508">
        <v>21</v>
      </c>
      <c r="K508">
        <v>11</v>
      </c>
      <c r="L508">
        <v>10.7</v>
      </c>
    </row>
    <row r="509" spans="1:12" x14ac:dyDescent="0.2">
      <c r="A509">
        <v>45</v>
      </c>
      <c r="B509">
        <v>2127</v>
      </c>
      <c r="C509">
        <v>179</v>
      </c>
      <c r="D509">
        <v>0.79400000000000004</v>
      </c>
      <c r="E509" s="3">
        <v>0.151</v>
      </c>
      <c r="F509">
        <v>0.14199999999999999</v>
      </c>
      <c r="G509">
        <v>0.90700000000000003</v>
      </c>
      <c r="H509" s="3">
        <v>0.93100000000000005</v>
      </c>
      <c r="I509" s="3">
        <f t="shared" si="7"/>
        <v>6.899999999999995E-2</v>
      </c>
      <c r="J509">
        <v>85</v>
      </c>
      <c r="K509">
        <v>5</v>
      </c>
      <c r="L509">
        <v>7.2</v>
      </c>
    </row>
    <row r="510" spans="1:12" x14ac:dyDescent="0.2">
      <c r="A510">
        <v>102</v>
      </c>
      <c r="B510">
        <v>4975</v>
      </c>
      <c r="C510">
        <v>119</v>
      </c>
      <c r="D510">
        <v>0.79400000000000004</v>
      </c>
      <c r="E510" s="3">
        <v>6.9000000000000006E-2</v>
      </c>
      <c r="F510">
        <v>7.0999999999999994E-2</v>
      </c>
      <c r="G510">
        <v>0.86099999999999999</v>
      </c>
      <c r="H510" s="3">
        <v>0.91500000000000004</v>
      </c>
      <c r="I510" s="3">
        <f t="shared" si="7"/>
        <v>8.4999999999999964E-2</v>
      </c>
      <c r="J510">
        <v>3</v>
      </c>
      <c r="K510">
        <v>5</v>
      </c>
      <c r="L510">
        <v>3.4</v>
      </c>
    </row>
    <row r="511" spans="1:12" x14ac:dyDescent="0.2">
      <c r="A511">
        <v>39</v>
      </c>
      <c r="B511">
        <v>1843</v>
      </c>
      <c r="C511">
        <v>146</v>
      </c>
      <c r="D511">
        <v>0.79500000000000004</v>
      </c>
      <c r="E511" s="3">
        <v>0.19500000000000001</v>
      </c>
      <c r="F511">
        <v>0.191</v>
      </c>
      <c r="G511">
        <v>0.80600000000000005</v>
      </c>
      <c r="H511" s="3">
        <v>0.93899999999999995</v>
      </c>
      <c r="I511" s="3">
        <f t="shared" si="7"/>
        <v>6.1000000000000054E-2</v>
      </c>
      <c r="J511">
        <v>36</v>
      </c>
      <c r="K511">
        <v>1</v>
      </c>
      <c r="L511">
        <v>10.4</v>
      </c>
    </row>
    <row r="512" spans="1:12" x14ac:dyDescent="0.2">
      <c r="A512">
        <v>52</v>
      </c>
      <c r="B512">
        <v>2556</v>
      </c>
      <c r="C512">
        <v>122</v>
      </c>
      <c r="D512">
        <v>0.79500000000000004</v>
      </c>
      <c r="E512" s="3">
        <v>0.125</v>
      </c>
      <c r="F512">
        <v>7.5999999999999998E-2</v>
      </c>
      <c r="G512">
        <v>0.82799999999999996</v>
      </c>
      <c r="H512" s="3">
        <v>0.96199999999999997</v>
      </c>
      <c r="I512" s="3">
        <f t="shared" si="7"/>
        <v>3.8000000000000034E-2</v>
      </c>
      <c r="J512">
        <v>10</v>
      </c>
      <c r="K512">
        <v>17</v>
      </c>
      <c r="L512">
        <v>8.1999999999999993</v>
      </c>
    </row>
    <row r="513" spans="1:12" x14ac:dyDescent="0.2">
      <c r="A513">
        <v>56</v>
      </c>
      <c r="B513">
        <v>2673</v>
      </c>
      <c r="C513">
        <v>133</v>
      </c>
      <c r="D513">
        <v>0.79500000000000004</v>
      </c>
      <c r="E513" s="3">
        <v>0.17399999999999999</v>
      </c>
      <c r="F513">
        <v>0.14399999999999999</v>
      </c>
      <c r="G513">
        <v>0.96599999999999997</v>
      </c>
      <c r="H513" s="3">
        <v>0.93</v>
      </c>
      <c r="I513" s="3">
        <f t="shared" si="7"/>
        <v>6.9999999999999951E-2</v>
      </c>
      <c r="J513">
        <v>6</v>
      </c>
      <c r="K513">
        <v>14</v>
      </c>
      <c r="L513">
        <v>13</v>
      </c>
    </row>
    <row r="514" spans="1:12" x14ac:dyDescent="0.2">
      <c r="A514">
        <v>78</v>
      </c>
      <c r="B514">
        <v>3823</v>
      </c>
      <c r="C514">
        <v>110</v>
      </c>
      <c r="D514">
        <v>0.79500000000000004</v>
      </c>
      <c r="E514" s="3">
        <v>0.155</v>
      </c>
      <c r="F514">
        <v>0.246</v>
      </c>
      <c r="G514">
        <v>0.84599999999999997</v>
      </c>
      <c r="H514" s="3">
        <v>0.93300000000000005</v>
      </c>
      <c r="I514" s="3">
        <f t="shared" si="7"/>
        <v>6.6999999999999948E-2</v>
      </c>
      <c r="J514">
        <v>89</v>
      </c>
      <c r="K514">
        <v>5</v>
      </c>
      <c r="L514">
        <v>11.5</v>
      </c>
    </row>
    <row r="515" spans="1:12" x14ac:dyDescent="0.2">
      <c r="A515">
        <v>82</v>
      </c>
      <c r="B515">
        <v>3867</v>
      </c>
      <c r="C515">
        <v>121</v>
      </c>
      <c r="D515">
        <v>0.79600000000000004</v>
      </c>
      <c r="E515" s="3">
        <v>0.186</v>
      </c>
      <c r="F515">
        <v>0.184</v>
      </c>
      <c r="G515">
        <v>0.8</v>
      </c>
      <c r="H515" s="3">
        <v>0.98</v>
      </c>
      <c r="I515" s="3">
        <f t="shared" ref="I515:I578" si="8">1-H515</f>
        <v>2.0000000000000018E-2</v>
      </c>
      <c r="J515">
        <v>13</v>
      </c>
      <c r="K515">
        <v>7</v>
      </c>
      <c r="L515">
        <v>11.2</v>
      </c>
    </row>
    <row r="516" spans="1:12" x14ac:dyDescent="0.2">
      <c r="A516">
        <v>88</v>
      </c>
      <c r="B516">
        <v>4259</v>
      </c>
      <c r="C516">
        <v>160</v>
      </c>
      <c r="D516">
        <v>0.79600000000000004</v>
      </c>
      <c r="E516" s="3">
        <v>4.9000000000000002E-2</v>
      </c>
      <c r="F516">
        <v>0.10100000000000001</v>
      </c>
      <c r="G516">
        <v>0.92200000000000004</v>
      </c>
      <c r="H516" s="3">
        <v>0.90500000000000003</v>
      </c>
      <c r="I516" s="3">
        <f t="shared" si="8"/>
        <v>9.4999999999999973E-2</v>
      </c>
      <c r="J516">
        <v>54</v>
      </c>
      <c r="K516">
        <v>8</v>
      </c>
      <c r="L516">
        <v>6.8</v>
      </c>
    </row>
    <row r="517" spans="1:12" x14ac:dyDescent="0.2">
      <c r="A517">
        <v>65</v>
      </c>
      <c r="B517">
        <v>2994</v>
      </c>
      <c r="C517">
        <v>182</v>
      </c>
      <c r="D517">
        <v>0.79700000000000004</v>
      </c>
      <c r="E517" s="3">
        <v>2.5999999999999999E-2</v>
      </c>
      <c r="F517">
        <v>5.5E-2</v>
      </c>
      <c r="G517">
        <v>0.96199999999999997</v>
      </c>
      <c r="H517" s="3">
        <v>0.96199999999999997</v>
      </c>
      <c r="I517" s="3">
        <f t="shared" si="8"/>
        <v>3.8000000000000034E-2</v>
      </c>
      <c r="J517">
        <v>10</v>
      </c>
      <c r="K517">
        <v>8</v>
      </c>
      <c r="L517">
        <v>6.2</v>
      </c>
    </row>
    <row r="518" spans="1:12" x14ac:dyDescent="0.2">
      <c r="A518">
        <v>78</v>
      </c>
      <c r="B518">
        <v>3801</v>
      </c>
      <c r="C518">
        <v>155</v>
      </c>
      <c r="D518">
        <v>0.79700000000000004</v>
      </c>
      <c r="E518" s="3">
        <v>5.5E-2</v>
      </c>
      <c r="F518">
        <v>0.27200000000000002</v>
      </c>
      <c r="G518">
        <v>0.72599999999999998</v>
      </c>
      <c r="H518" s="3">
        <v>0.94199999999999995</v>
      </c>
      <c r="I518" s="3">
        <f t="shared" si="8"/>
        <v>5.8000000000000052E-2</v>
      </c>
      <c r="J518">
        <v>34</v>
      </c>
      <c r="K518">
        <v>4</v>
      </c>
      <c r="L518">
        <v>8.1</v>
      </c>
    </row>
    <row r="519" spans="1:12" x14ac:dyDescent="0.2">
      <c r="A519">
        <v>31</v>
      </c>
      <c r="B519">
        <v>1340</v>
      </c>
      <c r="C519">
        <v>41</v>
      </c>
      <c r="D519">
        <v>0.79900000000000004</v>
      </c>
      <c r="E519" s="3">
        <v>0.114</v>
      </c>
      <c r="F519">
        <v>0.26500000000000001</v>
      </c>
      <c r="G519">
        <v>0.79300000000000004</v>
      </c>
      <c r="H519" s="3">
        <v>0.96599999999999997</v>
      </c>
      <c r="I519" s="3">
        <f t="shared" si="8"/>
        <v>3.400000000000003E-2</v>
      </c>
      <c r="J519">
        <v>38</v>
      </c>
      <c r="K519">
        <v>17</v>
      </c>
      <c r="L519">
        <v>5.7</v>
      </c>
    </row>
    <row r="520" spans="1:12" x14ac:dyDescent="0.2">
      <c r="A520">
        <v>42</v>
      </c>
      <c r="B520">
        <v>2003</v>
      </c>
      <c r="C520">
        <v>155</v>
      </c>
      <c r="D520">
        <v>0.79900000000000004</v>
      </c>
      <c r="E520" s="3">
        <v>0.107</v>
      </c>
      <c r="F520">
        <v>9.6000000000000002E-2</v>
      </c>
      <c r="G520">
        <v>0.86599999999999999</v>
      </c>
      <c r="H520" s="3">
        <v>0.90400000000000003</v>
      </c>
      <c r="I520" s="3">
        <f t="shared" si="8"/>
        <v>9.5999999999999974E-2</v>
      </c>
      <c r="J520">
        <v>83</v>
      </c>
      <c r="K520">
        <v>13</v>
      </c>
      <c r="L520">
        <v>4.7</v>
      </c>
    </row>
    <row r="521" spans="1:12" x14ac:dyDescent="0.2">
      <c r="A521">
        <v>42</v>
      </c>
      <c r="B521">
        <v>2062</v>
      </c>
      <c r="C521">
        <v>162</v>
      </c>
      <c r="D521">
        <v>0.8</v>
      </c>
      <c r="E521" s="3">
        <v>0.10199999999999999</v>
      </c>
      <c r="F521">
        <v>0.10199999999999999</v>
      </c>
      <c r="G521">
        <v>0.73499999999999999</v>
      </c>
      <c r="H521" s="3">
        <v>0.95699999999999996</v>
      </c>
      <c r="I521" s="3">
        <f t="shared" si="8"/>
        <v>4.3000000000000038E-2</v>
      </c>
      <c r="J521">
        <v>60</v>
      </c>
      <c r="K521">
        <v>13</v>
      </c>
      <c r="L521">
        <v>7.9</v>
      </c>
    </row>
    <row r="522" spans="1:12" x14ac:dyDescent="0.2">
      <c r="A522">
        <v>77</v>
      </c>
      <c r="B522">
        <v>3675</v>
      </c>
      <c r="C522">
        <v>160</v>
      </c>
      <c r="D522">
        <v>0.8</v>
      </c>
      <c r="E522" s="3">
        <v>0.02</v>
      </c>
      <c r="F522">
        <v>7.0000000000000007E-2</v>
      </c>
      <c r="G522">
        <v>0.94199999999999995</v>
      </c>
      <c r="H522" s="3">
        <v>0.93100000000000005</v>
      </c>
      <c r="I522" s="3">
        <f t="shared" si="8"/>
        <v>6.899999999999995E-2</v>
      </c>
      <c r="J522">
        <v>8</v>
      </c>
      <c r="K522">
        <v>5</v>
      </c>
      <c r="L522">
        <v>14</v>
      </c>
    </row>
    <row r="523" spans="1:12" x14ac:dyDescent="0.2">
      <c r="A523">
        <v>90</v>
      </c>
      <c r="B523">
        <v>4304</v>
      </c>
      <c r="C523">
        <v>173</v>
      </c>
      <c r="D523">
        <v>0.8</v>
      </c>
      <c r="E523" s="3">
        <v>0.19400000000000001</v>
      </c>
      <c r="F523">
        <v>0.16200000000000001</v>
      </c>
      <c r="G523">
        <v>0.76700000000000002</v>
      </c>
      <c r="H523" s="3">
        <v>0.91300000000000003</v>
      </c>
      <c r="I523" s="3">
        <f t="shared" si="8"/>
        <v>8.6999999999999966E-2</v>
      </c>
      <c r="J523">
        <v>99</v>
      </c>
      <c r="K523">
        <v>5</v>
      </c>
      <c r="L523">
        <v>2.5</v>
      </c>
    </row>
    <row r="524" spans="1:12" x14ac:dyDescent="0.2">
      <c r="A524">
        <v>41</v>
      </c>
      <c r="B524">
        <v>1862</v>
      </c>
      <c r="C524">
        <v>153</v>
      </c>
      <c r="D524">
        <v>0.80100000000000005</v>
      </c>
      <c r="E524" s="3">
        <v>0.12</v>
      </c>
      <c r="F524">
        <v>5.7000000000000002E-2</v>
      </c>
      <c r="G524">
        <v>0.97499999999999998</v>
      </c>
      <c r="H524" s="3">
        <v>0.94899999999999995</v>
      </c>
      <c r="I524" s="3">
        <f t="shared" si="8"/>
        <v>5.1000000000000045E-2</v>
      </c>
      <c r="J524">
        <v>87</v>
      </c>
      <c r="K524">
        <v>13</v>
      </c>
      <c r="L524">
        <v>9.8000000000000007</v>
      </c>
    </row>
    <row r="525" spans="1:12" x14ac:dyDescent="0.2">
      <c r="A525">
        <v>55</v>
      </c>
      <c r="B525">
        <v>2705</v>
      </c>
      <c r="C525">
        <v>132</v>
      </c>
      <c r="D525">
        <v>0.80100000000000005</v>
      </c>
      <c r="E525" s="3">
        <v>0.127</v>
      </c>
      <c r="F525">
        <v>8.8999999999999996E-2</v>
      </c>
      <c r="G525">
        <v>0.91200000000000003</v>
      </c>
      <c r="H525" s="3">
        <v>0.995</v>
      </c>
      <c r="I525" s="3">
        <f t="shared" si="8"/>
        <v>5.0000000000000044E-3</v>
      </c>
      <c r="J525">
        <v>5</v>
      </c>
      <c r="K525">
        <v>13</v>
      </c>
      <c r="L525">
        <v>10.1</v>
      </c>
    </row>
    <row r="526" spans="1:12" x14ac:dyDescent="0.2">
      <c r="A526">
        <v>56</v>
      </c>
      <c r="B526">
        <v>2626</v>
      </c>
      <c r="C526">
        <v>159</v>
      </c>
      <c r="D526">
        <v>0.80200000000000005</v>
      </c>
      <c r="E526" s="3">
        <v>0.19400000000000001</v>
      </c>
      <c r="F526">
        <v>0.27100000000000002</v>
      </c>
      <c r="G526">
        <v>0.9</v>
      </c>
      <c r="H526" s="3">
        <v>0.99199999999999999</v>
      </c>
      <c r="I526" s="3">
        <f t="shared" si="8"/>
        <v>8.0000000000000071E-3</v>
      </c>
      <c r="J526">
        <v>65</v>
      </c>
      <c r="K526">
        <v>10</v>
      </c>
      <c r="L526">
        <v>13.4</v>
      </c>
    </row>
    <row r="527" spans="1:12" x14ac:dyDescent="0.2">
      <c r="A527">
        <v>81</v>
      </c>
      <c r="B527">
        <v>3924</v>
      </c>
      <c r="C527">
        <v>181</v>
      </c>
      <c r="D527">
        <v>0.80200000000000005</v>
      </c>
      <c r="E527" s="3">
        <v>0.13300000000000001</v>
      </c>
      <c r="F527">
        <v>0.251</v>
      </c>
      <c r="G527">
        <v>0.71799999999999997</v>
      </c>
      <c r="H527" s="3">
        <v>0.96699999999999997</v>
      </c>
      <c r="I527" s="3">
        <f t="shared" si="8"/>
        <v>3.3000000000000029E-2</v>
      </c>
      <c r="J527">
        <v>78</v>
      </c>
      <c r="K527">
        <v>9</v>
      </c>
      <c r="L527">
        <v>1.6</v>
      </c>
    </row>
    <row r="528" spans="1:12" x14ac:dyDescent="0.2">
      <c r="A528">
        <v>24</v>
      </c>
      <c r="B528">
        <v>1104</v>
      </c>
      <c r="C528">
        <v>128</v>
      </c>
      <c r="D528">
        <v>0.80300000000000005</v>
      </c>
      <c r="E528" s="3">
        <v>5.6000000000000001E-2</v>
      </c>
      <c r="F528">
        <v>0.222</v>
      </c>
      <c r="G528">
        <v>0.80700000000000005</v>
      </c>
      <c r="H528" s="3">
        <v>0.98899999999999999</v>
      </c>
      <c r="I528" s="3">
        <f t="shared" si="8"/>
        <v>1.100000000000001E-2</v>
      </c>
      <c r="J528">
        <v>97</v>
      </c>
      <c r="K528">
        <v>8</v>
      </c>
      <c r="L528">
        <v>6.8</v>
      </c>
    </row>
    <row r="529" spans="1:12" x14ac:dyDescent="0.2">
      <c r="A529">
        <v>61</v>
      </c>
      <c r="B529">
        <v>2913</v>
      </c>
      <c r="C529">
        <v>22</v>
      </c>
      <c r="D529">
        <v>0.80300000000000005</v>
      </c>
      <c r="E529" s="3">
        <v>0.16400000000000001</v>
      </c>
      <c r="F529">
        <v>0.26100000000000001</v>
      </c>
      <c r="G529">
        <v>0.78300000000000003</v>
      </c>
      <c r="H529" s="3">
        <v>0.995</v>
      </c>
      <c r="I529" s="3">
        <f t="shared" si="8"/>
        <v>5.0000000000000044E-3</v>
      </c>
      <c r="J529">
        <v>41</v>
      </c>
      <c r="K529">
        <v>14</v>
      </c>
      <c r="L529">
        <v>7.8</v>
      </c>
    </row>
    <row r="530" spans="1:12" x14ac:dyDescent="0.2">
      <c r="A530">
        <v>33</v>
      </c>
      <c r="B530">
        <v>1519</v>
      </c>
      <c r="C530">
        <v>37</v>
      </c>
      <c r="D530">
        <v>0.80400000000000005</v>
      </c>
      <c r="E530" s="3">
        <v>0.14199999999999999</v>
      </c>
      <c r="F530">
        <v>0.16700000000000001</v>
      </c>
      <c r="G530">
        <v>0.94599999999999995</v>
      </c>
      <c r="H530" s="3">
        <v>0.94499999999999995</v>
      </c>
      <c r="I530" s="3">
        <f t="shared" si="8"/>
        <v>5.5000000000000049E-2</v>
      </c>
      <c r="J530">
        <v>60</v>
      </c>
      <c r="K530">
        <v>8</v>
      </c>
      <c r="L530">
        <v>9.3000000000000007</v>
      </c>
    </row>
    <row r="531" spans="1:12" x14ac:dyDescent="0.2">
      <c r="A531">
        <v>42</v>
      </c>
      <c r="B531">
        <v>1998</v>
      </c>
      <c r="C531">
        <v>98</v>
      </c>
      <c r="D531">
        <v>0.80500000000000005</v>
      </c>
      <c r="E531" s="3">
        <v>7.8E-2</v>
      </c>
      <c r="F531">
        <v>8.8999999999999996E-2</v>
      </c>
      <c r="G531">
        <v>0.76300000000000001</v>
      </c>
      <c r="H531" s="3">
        <v>0.98699999999999999</v>
      </c>
      <c r="I531" s="3">
        <f t="shared" si="8"/>
        <v>1.3000000000000012E-2</v>
      </c>
      <c r="J531">
        <v>90</v>
      </c>
      <c r="K531">
        <v>7</v>
      </c>
      <c r="L531">
        <v>10.1</v>
      </c>
    </row>
    <row r="532" spans="1:12" x14ac:dyDescent="0.2">
      <c r="A532">
        <v>59</v>
      </c>
      <c r="B532">
        <v>2815</v>
      </c>
      <c r="C532">
        <v>95</v>
      </c>
      <c r="D532">
        <v>0.80500000000000005</v>
      </c>
      <c r="E532" s="3">
        <v>0.186</v>
      </c>
      <c r="F532">
        <v>7.8E-2</v>
      </c>
      <c r="G532">
        <v>0.73599999999999999</v>
      </c>
      <c r="H532" s="3">
        <v>0.96199999999999997</v>
      </c>
      <c r="I532" s="3">
        <f t="shared" si="8"/>
        <v>3.8000000000000034E-2</v>
      </c>
      <c r="J532">
        <v>50</v>
      </c>
      <c r="K532">
        <v>8</v>
      </c>
      <c r="L532">
        <v>7.1</v>
      </c>
    </row>
    <row r="533" spans="1:12" x14ac:dyDescent="0.2">
      <c r="A533">
        <v>40</v>
      </c>
      <c r="B533">
        <v>1818</v>
      </c>
      <c r="C533">
        <v>105</v>
      </c>
      <c r="D533">
        <v>0.80700000000000005</v>
      </c>
      <c r="E533" s="3">
        <v>0.16500000000000001</v>
      </c>
      <c r="F533">
        <v>0.17100000000000001</v>
      </c>
      <c r="G533">
        <v>0.8</v>
      </c>
      <c r="H533" s="3">
        <v>0.99</v>
      </c>
      <c r="I533" s="3">
        <f t="shared" si="8"/>
        <v>1.0000000000000009E-2</v>
      </c>
      <c r="J533">
        <v>86</v>
      </c>
      <c r="K533">
        <v>7</v>
      </c>
      <c r="L533">
        <v>4.7</v>
      </c>
    </row>
    <row r="534" spans="1:12" x14ac:dyDescent="0.2">
      <c r="A534">
        <v>63</v>
      </c>
      <c r="B534">
        <v>3102</v>
      </c>
      <c r="C534">
        <v>84</v>
      </c>
      <c r="D534">
        <v>0.80700000000000005</v>
      </c>
      <c r="E534" s="3">
        <v>1.7000000000000001E-2</v>
      </c>
      <c r="F534">
        <v>0.25900000000000001</v>
      </c>
      <c r="G534">
        <v>0.91700000000000004</v>
      </c>
      <c r="H534" s="3">
        <v>0.93</v>
      </c>
      <c r="I534" s="3">
        <f t="shared" si="8"/>
        <v>6.9999999999999951E-2</v>
      </c>
      <c r="J534">
        <v>22</v>
      </c>
      <c r="K534">
        <v>19</v>
      </c>
      <c r="L534">
        <v>3.4</v>
      </c>
    </row>
    <row r="535" spans="1:12" x14ac:dyDescent="0.2">
      <c r="A535">
        <v>87</v>
      </c>
      <c r="B535">
        <v>4198</v>
      </c>
      <c r="C535">
        <v>147</v>
      </c>
      <c r="D535">
        <v>0.80700000000000005</v>
      </c>
      <c r="E535" s="3">
        <v>0.192</v>
      </c>
      <c r="F535">
        <v>0.154</v>
      </c>
      <c r="G535">
        <v>0.96499999999999997</v>
      </c>
      <c r="H535" s="3">
        <v>0.95599999999999996</v>
      </c>
      <c r="I535" s="3">
        <f t="shared" si="8"/>
        <v>4.4000000000000039E-2</v>
      </c>
      <c r="J535">
        <v>69</v>
      </c>
      <c r="K535">
        <v>14</v>
      </c>
      <c r="L535">
        <v>7</v>
      </c>
    </row>
    <row r="536" spans="1:12" x14ac:dyDescent="0.2">
      <c r="A536">
        <v>95</v>
      </c>
      <c r="B536">
        <v>4522</v>
      </c>
      <c r="C536">
        <v>70</v>
      </c>
      <c r="D536">
        <v>0.80700000000000005</v>
      </c>
      <c r="E536" s="3">
        <v>2.1000000000000001E-2</v>
      </c>
      <c r="F536">
        <v>0.19700000000000001</v>
      </c>
      <c r="G536">
        <v>0.96099999999999997</v>
      </c>
      <c r="H536" s="3">
        <v>0.95</v>
      </c>
      <c r="I536" s="3">
        <f t="shared" si="8"/>
        <v>5.0000000000000044E-2</v>
      </c>
      <c r="J536">
        <v>14</v>
      </c>
      <c r="K536">
        <v>16</v>
      </c>
      <c r="L536">
        <v>6.8</v>
      </c>
    </row>
    <row r="537" spans="1:12" x14ac:dyDescent="0.2">
      <c r="A537">
        <v>100</v>
      </c>
      <c r="B537">
        <v>4822</v>
      </c>
      <c r="C537">
        <v>78</v>
      </c>
      <c r="D537">
        <v>0.80700000000000005</v>
      </c>
      <c r="E537" s="3">
        <v>0.153</v>
      </c>
      <c r="F537">
        <v>0.28499999999999998</v>
      </c>
      <c r="G537">
        <v>0.748</v>
      </c>
      <c r="H537" s="3">
        <v>0.93899999999999995</v>
      </c>
      <c r="I537" s="3">
        <f t="shared" si="8"/>
        <v>6.1000000000000054E-2</v>
      </c>
      <c r="J537">
        <v>71</v>
      </c>
      <c r="K537">
        <v>13</v>
      </c>
      <c r="L537">
        <v>1.4</v>
      </c>
    </row>
    <row r="538" spans="1:12" x14ac:dyDescent="0.2">
      <c r="A538">
        <v>35</v>
      </c>
      <c r="B538">
        <v>1682</v>
      </c>
      <c r="C538">
        <v>167</v>
      </c>
      <c r="D538">
        <v>0.80800000000000005</v>
      </c>
      <c r="E538" s="3">
        <v>4.1000000000000002E-2</v>
      </c>
      <c r="F538">
        <v>8.4000000000000005E-2</v>
      </c>
      <c r="G538">
        <v>0.97899999999999998</v>
      </c>
      <c r="H538" s="3">
        <v>0.99299999999999999</v>
      </c>
      <c r="I538" s="3">
        <f t="shared" si="8"/>
        <v>7.0000000000000062E-3</v>
      </c>
      <c r="J538">
        <v>88</v>
      </c>
      <c r="K538">
        <v>5</v>
      </c>
      <c r="L538">
        <v>7.7</v>
      </c>
    </row>
    <row r="539" spans="1:12" x14ac:dyDescent="0.2">
      <c r="A539">
        <v>44</v>
      </c>
      <c r="B539">
        <v>2050</v>
      </c>
      <c r="C539">
        <v>91</v>
      </c>
      <c r="D539">
        <v>0.81100000000000005</v>
      </c>
      <c r="E539" s="3">
        <v>2.7E-2</v>
      </c>
      <c r="F539">
        <v>0.28799999999999998</v>
      </c>
      <c r="G539">
        <v>0.79300000000000004</v>
      </c>
      <c r="H539" s="3">
        <v>0.92600000000000005</v>
      </c>
      <c r="I539" s="3">
        <f t="shared" si="8"/>
        <v>7.3999999999999955E-2</v>
      </c>
      <c r="J539">
        <v>29</v>
      </c>
      <c r="K539">
        <v>19</v>
      </c>
      <c r="L539">
        <v>13.7</v>
      </c>
    </row>
    <row r="540" spans="1:12" x14ac:dyDescent="0.2">
      <c r="A540">
        <v>64</v>
      </c>
      <c r="B540">
        <v>2995</v>
      </c>
      <c r="C540">
        <v>86</v>
      </c>
      <c r="D540">
        <v>0.81100000000000005</v>
      </c>
      <c r="E540" s="3">
        <v>4.4999999999999998E-2</v>
      </c>
      <c r="F540">
        <v>0.23599999999999999</v>
      </c>
      <c r="G540">
        <v>0.85</v>
      </c>
      <c r="H540" s="3">
        <v>0.97</v>
      </c>
      <c r="I540" s="3">
        <f t="shared" si="8"/>
        <v>3.0000000000000027E-2</v>
      </c>
      <c r="J540">
        <v>68</v>
      </c>
      <c r="K540">
        <v>2</v>
      </c>
      <c r="L540">
        <v>10.3</v>
      </c>
    </row>
    <row r="541" spans="1:12" x14ac:dyDescent="0.2">
      <c r="A541">
        <v>73</v>
      </c>
      <c r="B541">
        <v>3500</v>
      </c>
      <c r="C541">
        <v>185</v>
      </c>
      <c r="D541">
        <v>0.81100000000000005</v>
      </c>
      <c r="E541" s="3">
        <v>6.4000000000000001E-2</v>
      </c>
      <c r="F541">
        <v>8.5999999999999993E-2</v>
      </c>
      <c r="G541">
        <v>0.90900000000000003</v>
      </c>
      <c r="H541" s="3">
        <v>0.996</v>
      </c>
      <c r="I541" s="3">
        <f t="shared" si="8"/>
        <v>4.0000000000000036E-3</v>
      </c>
      <c r="J541">
        <v>21</v>
      </c>
      <c r="K541">
        <v>16</v>
      </c>
      <c r="L541">
        <v>11.9</v>
      </c>
    </row>
    <row r="542" spans="1:12" x14ac:dyDescent="0.2">
      <c r="A542">
        <v>78</v>
      </c>
      <c r="B542">
        <v>3657</v>
      </c>
      <c r="C542">
        <v>166</v>
      </c>
      <c r="D542">
        <v>0.81100000000000005</v>
      </c>
      <c r="E542" s="3">
        <v>9.2999999999999999E-2</v>
      </c>
      <c r="F542">
        <v>0.13400000000000001</v>
      </c>
      <c r="G542">
        <v>0.81799999999999995</v>
      </c>
      <c r="H542" s="3">
        <v>0.90600000000000003</v>
      </c>
      <c r="I542" s="3">
        <f t="shared" si="8"/>
        <v>9.3999999999999972E-2</v>
      </c>
      <c r="J542">
        <v>29</v>
      </c>
      <c r="K542">
        <v>4</v>
      </c>
      <c r="L542">
        <v>9</v>
      </c>
    </row>
    <row r="543" spans="1:12" x14ac:dyDescent="0.2">
      <c r="A543">
        <v>92</v>
      </c>
      <c r="B543">
        <v>4326</v>
      </c>
      <c r="C543">
        <v>98</v>
      </c>
      <c r="D543">
        <v>0.81100000000000005</v>
      </c>
      <c r="E543" s="3">
        <v>0.11799999999999999</v>
      </c>
      <c r="F543">
        <v>0.153</v>
      </c>
      <c r="G543">
        <v>0.70699999999999996</v>
      </c>
      <c r="H543" s="3">
        <v>0.90900000000000003</v>
      </c>
      <c r="I543" s="3">
        <f t="shared" si="8"/>
        <v>9.099999999999997E-2</v>
      </c>
      <c r="J543">
        <v>17</v>
      </c>
      <c r="K543">
        <v>6</v>
      </c>
      <c r="L543">
        <v>13.5</v>
      </c>
    </row>
    <row r="544" spans="1:12" x14ac:dyDescent="0.2">
      <c r="A544">
        <v>90</v>
      </c>
      <c r="B544">
        <v>4425</v>
      </c>
      <c r="C544">
        <v>180</v>
      </c>
      <c r="D544">
        <v>0.81100000000000005</v>
      </c>
      <c r="E544" s="3">
        <v>0.111</v>
      </c>
      <c r="F544">
        <v>0.28000000000000003</v>
      </c>
      <c r="G544">
        <v>0.749</v>
      </c>
      <c r="H544" s="3">
        <v>0.92</v>
      </c>
      <c r="I544" s="3">
        <f t="shared" si="8"/>
        <v>7.999999999999996E-2</v>
      </c>
      <c r="J544">
        <v>96</v>
      </c>
      <c r="K544">
        <v>15</v>
      </c>
      <c r="L544">
        <v>5.9</v>
      </c>
    </row>
    <row r="545" spans="1:12" x14ac:dyDescent="0.2">
      <c r="A545">
        <v>47</v>
      </c>
      <c r="B545">
        <v>2147</v>
      </c>
      <c r="C545">
        <v>30</v>
      </c>
      <c r="D545">
        <v>0.81200000000000006</v>
      </c>
      <c r="E545" s="3">
        <v>7.1999999999999995E-2</v>
      </c>
      <c r="F545">
        <v>0.15</v>
      </c>
      <c r="G545">
        <v>0.77700000000000002</v>
      </c>
      <c r="H545" s="3">
        <v>0.90200000000000002</v>
      </c>
      <c r="I545" s="3">
        <f t="shared" si="8"/>
        <v>9.7999999999999976E-2</v>
      </c>
      <c r="J545">
        <v>28</v>
      </c>
      <c r="K545">
        <v>11</v>
      </c>
      <c r="L545">
        <v>7.2</v>
      </c>
    </row>
    <row r="546" spans="1:12" x14ac:dyDescent="0.2">
      <c r="A546">
        <v>72</v>
      </c>
      <c r="B546">
        <v>3341</v>
      </c>
      <c r="C546">
        <v>142</v>
      </c>
      <c r="D546">
        <v>0.81200000000000006</v>
      </c>
      <c r="E546" s="3">
        <v>0.18099999999999999</v>
      </c>
      <c r="F546">
        <v>0.1</v>
      </c>
      <c r="G546">
        <v>0.874</v>
      </c>
      <c r="H546" s="3">
        <v>0.96299999999999997</v>
      </c>
      <c r="I546" s="3">
        <f t="shared" si="8"/>
        <v>3.7000000000000033E-2</v>
      </c>
      <c r="J546">
        <v>51</v>
      </c>
      <c r="K546">
        <v>17</v>
      </c>
      <c r="L546">
        <v>2.2000000000000002</v>
      </c>
    </row>
    <row r="547" spans="1:12" x14ac:dyDescent="0.2">
      <c r="A547">
        <v>58</v>
      </c>
      <c r="B547">
        <v>2863</v>
      </c>
      <c r="C547">
        <v>80</v>
      </c>
      <c r="D547">
        <v>0.81299999999999994</v>
      </c>
      <c r="E547" s="3">
        <v>1.0999999999999999E-2</v>
      </c>
      <c r="F547">
        <v>0.20799999999999999</v>
      </c>
      <c r="G547">
        <v>0.73299999999999998</v>
      </c>
      <c r="H547" s="3">
        <v>0.95</v>
      </c>
      <c r="I547" s="3">
        <f t="shared" si="8"/>
        <v>5.0000000000000044E-2</v>
      </c>
      <c r="J547">
        <v>86</v>
      </c>
      <c r="K547">
        <v>0</v>
      </c>
      <c r="L547">
        <v>9.6999999999999993</v>
      </c>
    </row>
    <row r="548" spans="1:12" x14ac:dyDescent="0.2">
      <c r="A548">
        <v>99</v>
      </c>
      <c r="B548">
        <v>4746</v>
      </c>
      <c r="C548">
        <v>35</v>
      </c>
      <c r="D548">
        <v>0.81299999999999994</v>
      </c>
      <c r="E548" s="3">
        <v>2.7E-2</v>
      </c>
      <c r="F548">
        <v>0.28499999999999998</v>
      </c>
      <c r="G548">
        <v>0.83299999999999996</v>
      </c>
      <c r="H548" s="3">
        <v>0.95799999999999996</v>
      </c>
      <c r="I548" s="3">
        <f t="shared" si="8"/>
        <v>4.2000000000000037E-2</v>
      </c>
      <c r="J548">
        <v>60</v>
      </c>
      <c r="K548">
        <v>14</v>
      </c>
      <c r="L548">
        <v>8.6</v>
      </c>
    </row>
    <row r="549" spans="1:12" x14ac:dyDescent="0.2">
      <c r="A549">
        <v>103</v>
      </c>
      <c r="B549">
        <v>4949</v>
      </c>
      <c r="C549">
        <v>198</v>
      </c>
      <c r="D549">
        <v>0.81299999999999994</v>
      </c>
      <c r="E549" s="3">
        <v>7.6999999999999999E-2</v>
      </c>
      <c r="F549">
        <v>0.23300000000000001</v>
      </c>
      <c r="G549">
        <v>0.83799999999999997</v>
      </c>
      <c r="H549" s="3">
        <v>0.91200000000000003</v>
      </c>
      <c r="I549" s="3">
        <f t="shared" si="8"/>
        <v>8.7999999999999967E-2</v>
      </c>
      <c r="J549">
        <v>80</v>
      </c>
      <c r="K549">
        <v>10</v>
      </c>
      <c r="L549">
        <v>10.9</v>
      </c>
    </row>
    <row r="550" spans="1:12" x14ac:dyDescent="0.2">
      <c r="A550">
        <v>60</v>
      </c>
      <c r="B550">
        <v>2960</v>
      </c>
      <c r="C550">
        <v>92</v>
      </c>
      <c r="D550">
        <v>0.81399999999999995</v>
      </c>
      <c r="E550" s="3">
        <v>4.9000000000000002E-2</v>
      </c>
      <c r="F550">
        <v>8.6999999999999994E-2</v>
      </c>
      <c r="G550">
        <v>0.94</v>
      </c>
      <c r="H550" s="3">
        <v>0.97499999999999998</v>
      </c>
      <c r="I550" s="3">
        <f t="shared" si="8"/>
        <v>2.5000000000000022E-2</v>
      </c>
      <c r="J550">
        <v>18</v>
      </c>
      <c r="K550">
        <v>14</v>
      </c>
      <c r="L550">
        <v>5.6</v>
      </c>
    </row>
    <row r="551" spans="1:12" x14ac:dyDescent="0.2">
      <c r="A551">
        <v>69</v>
      </c>
      <c r="B551">
        <v>3222</v>
      </c>
      <c r="C551">
        <v>92</v>
      </c>
      <c r="D551">
        <v>0.81399999999999995</v>
      </c>
      <c r="E551" s="3">
        <v>7.1999999999999995E-2</v>
      </c>
      <c r="F551">
        <v>0.112</v>
      </c>
      <c r="G551">
        <v>0.88200000000000001</v>
      </c>
      <c r="H551" s="3">
        <v>0.94199999999999995</v>
      </c>
      <c r="I551" s="3">
        <f t="shared" si="8"/>
        <v>5.8000000000000052E-2</v>
      </c>
      <c r="J551">
        <v>50</v>
      </c>
      <c r="K551">
        <v>18</v>
      </c>
      <c r="L551">
        <v>11.5</v>
      </c>
    </row>
    <row r="552" spans="1:12" x14ac:dyDescent="0.2">
      <c r="A552">
        <v>93</v>
      </c>
      <c r="B552">
        <v>4604</v>
      </c>
      <c r="C552">
        <v>71</v>
      </c>
      <c r="D552">
        <v>0.81399999999999995</v>
      </c>
      <c r="E552" s="3">
        <v>0.11799999999999999</v>
      </c>
      <c r="F552">
        <v>0.13</v>
      </c>
      <c r="G552">
        <v>0.97799999999999998</v>
      </c>
      <c r="H552" s="3">
        <v>0.93799999999999994</v>
      </c>
      <c r="I552" s="3">
        <f t="shared" si="8"/>
        <v>6.2000000000000055E-2</v>
      </c>
      <c r="J552">
        <v>95</v>
      </c>
      <c r="K552">
        <v>6</v>
      </c>
      <c r="L552">
        <v>5.2</v>
      </c>
    </row>
    <row r="553" spans="1:12" x14ac:dyDescent="0.2">
      <c r="A553">
        <v>101</v>
      </c>
      <c r="B553">
        <v>4786</v>
      </c>
      <c r="C553">
        <v>188</v>
      </c>
      <c r="D553">
        <v>0.81399999999999995</v>
      </c>
      <c r="E553" s="3">
        <v>0.191</v>
      </c>
      <c r="F553">
        <v>0.13700000000000001</v>
      </c>
      <c r="G553">
        <v>0.77500000000000002</v>
      </c>
      <c r="H553" s="3">
        <v>0.93300000000000005</v>
      </c>
      <c r="I553" s="3">
        <f t="shared" si="8"/>
        <v>6.6999999999999948E-2</v>
      </c>
      <c r="J553">
        <v>42</v>
      </c>
      <c r="K553">
        <v>14</v>
      </c>
      <c r="L553">
        <v>6.8</v>
      </c>
    </row>
    <row r="554" spans="1:12" x14ac:dyDescent="0.2">
      <c r="A554">
        <v>32</v>
      </c>
      <c r="B554">
        <v>1358</v>
      </c>
      <c r="C554">
        <v>125</v>
      </c>
      <c r="D554">
        <v>0.81499999999999995</v>
      </c>
      <c r="E554" s="3">
        <v>0.16800000000000001</v>
      </c>
      <c r="F554">
        <v>0.20499999999999999</v>
      </c>
      <c r="G554">
        <v>0.95899999999999996</v>
      </c>
      <c r="H554" s="3">
        <v>0.93500000000000005</v>
      </c>
      <c r="I554" s="3">
        <f t="shared" si="8"/>
        <v>6.4999999999999947E-2</v>
      </c>
      <c r="J554">
        <v>11</v>
      </c>
      <c r="K554">
        <v>14</v>
      </c>
      <c r="L554">
        <v>4.7</v>
      </c>
    </row>
    <row r="555" spans="1:12" x14ac:dyDescent="0.2">
      <c r="A555">
        <v>33</v>
      </c>
      <c r="B555">
        <v>1474</v>
      </c>
      <c r="C555">
        <v>173</v>
      </c>
      <c r="D555">
        <v>0.81499999999999995</v>
      </c>
      <c r="E555" s="3">
        <v>0.03</v>
      </c>
      <c r="F555">
        <v>0.17699999999999999</v>
      </c>
      <c r="G555">
        <v>0.877</v>
      </c>
      <c r="H555" s="3">
        <v>0.93200000000000005</v>
      </c>
      <c r="I555" s="3">
        <f t="shared" si="8"/>
        <v>6.7999999999999949E-2</v>
      </c>
      <c r="J555">
        <v>13</v>
      </c>
      <c r="K555">
        <v>10</v>
      </c>
      <c r="L555">
        <v>5.4</v>
      </c>
    </row>
    <row r="556" spans="1:12" x14ac:dyDescent="0.2">
      <c r="A556">
        <v>66</v>
      </c>
      <c r="B556">
        <v>3062</v>
      </c>
      <c r="C556">
        <v>88</v>
      </c>
      <c r="D556">
        <v>0.81499999999999995</v>
      </c>
      <c r="E556" s="3">
        <v>9.7000000000000003E-2</v>
      </c>
      <c r="F556">
        <v>0.10199999999999999</v>
      </c>
      <c r="G556">
        <v>0.76</v>
      </c>
      <c r="H556" s="3">
        <v>0.95799999999999996</v>
      </c>
      <c r="I556" s="3">
        <f t="shared" si="8"/>
        <v>4.2000000000000037E-2</v>
      </c>
      <c r="J556">
        <v>12</v>
      </c>
      <c r="K556">
        <v>17</v>
      </c>
      <c r="L556">
        <v>6.1</v>
      </c>
    </row>
    <row r="557" spans="1:12" x14ac:dyDescent="0.2">
      <c r="A557">
        <v>94</v>
      </c>
      <c r="B557">
        <v>4426</v>
      </c>
      <c r="C557">
        <v>94</v>
      </c>
      <c r="D557">
        <v>0.81499999999999995</v>
      </c>
      <c r="E557" s="3">
        <v>0.188</v>
      </c>
      <c r="F557">
        <v>5.1999999999999998E-2</v>
      </c>
      <c r="G557">
        <v>0.78</v>
      </c>
      <c r="H557" s="3">
        <v>0.92300000000000004</v>
      </c>
      <c r="I557" s="3">
        <f t="shared" si="8"/>
        <v>7.6999999999999957E-2</v>
      </c>
      <c r="J557">
        <v>86</v>
      </c>
      <c r="K557">
        <v>3</v>
      </c>
      <c r="L557">
        <v>15</v>
      </c>
    </row>
    <row r="558" spans="1:12" x14ac:dyDescent="0.2">
      <c r="A558">
        <v>50</v>
      </c>
      <c r="B558">
        <v>2413</v>
      </c>
      <c r="C558">
        <v>70</v>
      </c>
      <c r="D558">
        <v>0.81599999999999995</v>
      </c>
      <c r="E558" s="3">
        <v>5.8999999999999997E-2</v>
      </c>
      <c r="F558">
        <v>0.29499999999999998</v>
      </c>
      <c r="G558">
        <v>0.83699999999999997</v>
      </c>
      <c r="H558" s="3">
        <v>0.90300000000000002</v>
      </c>
      <c r="I558" s="3">
        <f t="shared" si="8"/>
        <v>9.6999999999999975E-2</v>
      </c>
      <c r="J558">
        <v>48</v>
      </c>
      <c r="K558">
        <v>9</v>
      </c>
      <c r="L558">
        <v>2.8</v>
      </c>
    </row>
    <row r="559" spans="1:12" x14ac:dyDescent="0.2">
      <c r="A559">
        <v>58</v>
      </c>
      <c r="B559">
        <v>2676</v>
      </c>
      <c r="C559">
        <v>121</v>
      </c>
      <c r="D559">
        <v>0.81599999999999995</v>
      </c>
      <c r="E559" s="3">
        <v>0.11</v>
      </c>
      <c r="F559">
        <v>0.28499999999999998</v>
      </c>
      <c r="G559">
        <v>0.873</v>
      </c>
      <c r="H559" s="3">
        <v>0.93799999999999994</v>
      </c>
      <c r="I559" s="3">
        <f t="shared" si="8"/>
        <v>6.2000000000000055E-2</v>
      </c>
      <c r="J559">
        <v>8</v>
      </c>
      <c r="K559">
        <v>15</v>
      </c>
      <c r="L559">
        <v>8.8000000000000007</v>
      </c>
    </row>
    <row r="560" spans="1:12" x14ac:dyDescent="0.2">
      <c r="A560">
        <v>95</v>
      </c>
      <c r="B560">
        <v>4501</v>
      </c>
      <c r="C560">
        <v>158</v>
      </c>
      <c r="D560">
        <v>0.81599999999999995</v>
      </c>
      <c r="E560" s="3">
        <v>5.3999999999999999E-2</v>
      </c>
      <c r="F560">
        <v>0.221</v>
      </c>
      <c r="G560">
        <v>0.77300000000000002</v>
      </c>
      <c r="H560" s="3">
        <v>0.90100000000000002</v>
      </c>
      <c r="I560" s="3">
        <f t="shared" si="8"/>
        <v>9.8999999999999977E-2</v>
      </c>
      <c r="J560">
        <v>59</v>
      </c>
      <c r="K560">
        <v>17</v>
      </c>
      <c r="L560">
        <v>8.8000000000000007</v>
      </c>
    </row>
    <row r="561" spans="1:12" x14ac:dyDescent="0.2">
      <c r="A561">
        <v>100</v>
      </c>
      <c r="B561">
        <v>4954</v>
      </c>
      <c r="C561">
        <v>80</v>
      </c>
      <c r="D561">
        <v>0.81599999999999995</v>
      </c>
      <c r="E561" s="3">
        <v>9.5000000000000001E-2</v>
      </c>
      <c r="F561">
        <v>0.20599999999999999</v>
      </c>
      <c r="G561">
        <v>0.82699999999999996</v>
      </c>
      <c r="H561" s="3">
        <v>0.99199999999999999</v>
      </c>
      <c r="I561" s="3">
        <f t="shared" si="8"/>
        <v>8.0000000000000071E-3</v>
      </c>
      <c r="J561">
        <v>93</v>
      </c>
      <c r="K561">
        <v>3</v>
      </c>
      <c r="L561">
        <v>9.1</v>
      </c>
    </row>
    <row r="562" spans="1:12" x14ac:dyDescent="0.2">
      <c r="A562">
        <v>28</v>
      </c>
      <c r="B562">
        <v>1170</v>
      </c>
      <c r="C562">
        <v>155</v>
      </c>
      <c r="D562">
        <v>0.81699999999999995</v>
      </c>
      <c r="E562" s="3">
        <v>0.187</v>
      </c>
      <c r="F562">
        <v>0.25</v>
      </c>
      <c r="G562">
        <v>0.73699999999999999</v>
      </c>
      <c r="H562" s="3">
        <v>0.92900000000000005</v>
      </c>
      <c r="I562" s="3">
        <f t="shared" si="8"/>
        <v>7.0999999999999952E-2</v>
      </c>
      <c r="J562">
        <v>51</v>
      </c>
      <c r="K562">
        <v>19</v>
      </c>
      <c r="L562">
        <v>5.5</v>
      </c>
    </row>
    <row r="563" spans="1:12" x14ac:dyDescent="0.2">
      <c r="A563">
        <v>31</v>
      </c>
      <c r="B563">
        <v>1289</v>
      </c>
      <c r="C563">
        <v>105</v>
      </c>
      <c r="D563">
        <v>0.81699999999999995</v>
      </c>
      <c r="E563" s="3">
        <v>4.1000000000000002E-2</v>
      </c>
      <c r="F563">
        <v>6.9000000000000006E-2</v>
      </c>
      <c r="G563">
        <v>0.94399999999999995</v>
      </c>
      <c r="H563" s="3">
        <v>0.95399999999999996</v>
      </c>
      <c r="I563" s="3">
        <f t="shared" si="8"/>
        <v>4.6000000000000041E-2</v>
      </c>
      <c r="J563">
        <v>97</v>
      </c>
      <c r="K563">
        <v>14</v>
      </c>
      <c r="L563">
        <v>10.7</v>
      </c>
    </row>
    <row r="564" spans="1:12" x14ac:dyDescent="0.2">
      <c r="A564">
        <v>56</v>
      </c>
      <c r="B564">
        <v>2552</v>
      </c>
      <c r="C564">
        <v>139</v>
      </c>
      <c r="D564">
        <v>0.81699999999999995</v>
      </c>
      <c r="E564" s="3">
        <v>0.09</v>
      </c>
      <c r="F564">
        <v>0.27800000000000002</v>
      </c>
      <c r="G564">
        <v>0.82799999999999996</v>
      </c>
      <c r="H564" s="3">
        <v>0.94499999999999995</v>
      </c>
      <c r="I564" s="3">
        <f t="shared" si="8"/>
        <v>5.5000000000000049E-2</v>
      </c>
      <c r="J564">
        <v>17</v>
      </c>
      <c r="K564">
        <v>9</v>
      </c>
      <c r="L564">
        <v>9.6</v>
      </c>
    </row>
    <row r="565" spans="1:12" x14ac:dyDescent="0.2">
      <c r="A565">
        <v>89</v>
      </c>
      <c r="B565">
        <v>4374</v>
      </c>
      <c r="C565">
        <v>37</v>
      </c>
      <c r="D565">
        <v>0.81699999999999995</v>
      </c>
      <c r="E565" s="3">
        <v>2.5999999999999999E-2</v>
      </c>
      <c r="F565">
        <v>0.14899999999999999</v>
      </c>
      <c r="G565">
        <v>0.84</v>
      </c>
      <c r="H565" s="3">
        <v>0.96899999999999997</v>
      </c>
      <c r="I565" s="3">
        <f t="shared" si="8"/>
        <v>3.1000000000000028E-2</v>
      </c>
      <c r="J565">
        <v>4</v>
      </c>
      <c r="K565">
        <v>12</v>
      </c>
      <c r="L565">
        <v>1.5</v>
      </c>
    </row>
    <row r="566" spans="1:12" x14ac:dyDescent="0.2">
      <c r="A566">
        <v>98</v>
      </c>
      <c r="B566">
        <v>4727</v>
      </c>
      <c r="C566">
        <v>48</v>
      </c>
      <c r="D566">
        <v>0.81699999999999995</v>
      </c>
      <c r="E566" s="3">
        <v>7.9000000000000001E-2</v>
      </c>
      <c r="F566">
        <v>0.16200000000000001</v>
      </c>
      <c r="G566">
        <v>0.92300000000000004</v>
      </c>
      <c r="H566" s="3">
        <v>0.96399999999999997</v>
      </c>
      <c r="I566" s="3">
        <f t="shared" si="8"/>
        <v>3.6000000000000032E-2</v>
      </c>
      <c r="J566">
        <v>95</v>
      </c>
      <c r="K566">
        <v>18</v>
      </c>
      <c r="L566">
        <v>3.8</v>
      </c>
    </row>
    <row r="567" spans="1:12" x14ac:dyDescent="0.2">
      <c r="A567">
        <v>101</v>
      </c>
      <c r="B567">
        <v>4940</v>
      </c>
      <c r="C567">
        <v>110</v>
      </c>
      <c r="D567">
        <v>0.81699999999999995</v>
      </c>
      <c r="E567" s="3">
        <v>0.16400000000000001</v>
      </c>
      <c r="F567">
        <v>0.26900000000000002</v>
      </c>
      <c r="G567">
        <v>0.75800000000000001</v>
      </c>
      <c r="H567" s="3">
        <v>0.93200000000000005</v>
      </c>
      <c r="I567" s="3">
        <f t="shared" si="8"/>
        <v>6.7999999999999949E-2</v>
      </c>
      <c r="J567">
        <v>22</v>
      </c>
      <c r="K567">
        <v>14</v>
      </c>
      <c r="L567">
        <v>9.1999999999999993</v>
      </c>
    </row>
    <row r="568" spans="1:12" x14ac:dyDescent="0.2">
      <c r="A568">
        <v>70</v>
      </c>
      <c r="B568">
        <v>3468</v>
      </c>
      <c r="C568">
        <v>30</v>
      </c>
      <c r="D568">
        <v>0.81799999999999995</v>
      </c>
      <c r="E568" s="3">
        <v>0.107</v>
      </c>
      <c r="F568">
        <v>0.20699999999999999</v>
      </c>
      <c r="G568">
        <v>0.79400000000000004</v>
      </c>
      <c r="H568" s="3">
        <v>0.94899999999999995</v>
      </c>
      <c r="I568" s="3">
        <f t="shared" si="8"/>
        <v>5.1000000000000045E-2</v>
      </c>
      <c r="J568">
        <v>42</v>
      </c>
      <c r="K568">
        <v>6</v>
      </c>
      <c r="L568">
        <v>2.7</v>
      </c>
    </row>
    <row r="569" spans="1:12" x14ac:dyDescent="0.2">
      <c r="A569">
        <v>93</v>
      </c>
      <c r="B569">
        <v>4606</v>
      </c>
      <c r="C569">
        <v>15</v>
      </c>
      <c r="D569">
        <v>0.81899999999999995</v>
      </c>
      <c r="E569" s="3">
        <v>3.6999999999999998E-2</v>
      </c>
      <c r="F569">
        <v>0.23400000000000001</v>
      </c>
      <c r="G569">
        <v>0.83</v>
      </c>
      <c r="H569" s="3">
        <v>0.94899999999999995</v>
      </c>
      <c r="I569" s="3">
        <f t="shared" si="8"/>
        <v>5.1000000000000045E-2</v>
      </c>
      <c r="J569">
        <v>81</v>
      </c>
      <c r="K569">
        <v>7</v>
      </c>
      <c r="L569">
        <v>10.5</v>
      </c>
    </row>
    <row r="570" spans="1:12" x14ac:dyDescent="0.2">
      <c r="A570">
        <v>51</v>
      </c>
      <c r="B570">
        <v>2327</v>
      </c>
      <c r="C570">
        <v>179</v>
      </c>
      <c r="D570">
        <v>0.82</v>
      </c>
      <c r="E570" s="3">
        <v>0.11</v>
      </c>
      <c r="F570">
        <v>0.17699999999999999</v>
      </c>
      <c r="G570">
        <v>0.70599999999999996</v>
      </c>
      <c r="H570" s="3">
        <v>0.90300000000000002</v>
      </c>
      <c r="I570" s="3">
        <f t="shared" si="8"/>
        <v>9.6999999999999975E-2</v>
      </c>
      <c r="J570">
        <v>16</v>
      </c>
      <c r="K570">
        <v>3</v>
      </c>
      <c r="L570">
        <v>2.9</v>
      </c>
    </row>
    <row r="571" spans="1:12" x14ac:dyDescent="0.2">
      <c r="A571">
        <v>65</v>
      </c>
      <c r="B571">
        <v>3101</v>
      </c>
      <c r="C571">
        <v>35</v>
      </c>
      <c r="D571">
        <v>0.82</v>
      </c>
      <c r="E571" s="3">
        <v>0.19400000000000001</v>
      </c>
      <c r="F571">
        <v>0.29399999999999998</v>
      </c>
      <c r="G571">
        <v>0.90900000000000003</v>
      </c>
      <c r="H571" s="3">
        <v>0.94899999999999995</v>
      </c>
      <c r="I571" s="3">
        <f t="shared" si="8"/>
        <v>5.1000000000000045E-2</v>
      </c>
      <c r="J571">
        <v>14</v>
      </c>
      <c r="K571">
        <v>14</v>
      </c>
      <c r="L571">
        <v>2.5</v>
      </c>
    </row>
    <row r="572" spans="1:12" x14ac:dyDescent="0.2">
      <c r="A572">
        <v>72</v>
      </c>
      <c r="B572">
        <v>3374</v>
      </c>
      <c r="C572">
        <v>147</v>
      </c>
      <c r="D572">
        <v>0.82</v>
      </c>
      <c r="E572" s="3">
        <v>0.184</v>
      </c>
      <c r="F572">
        <v>0.22900000000000001</v>
      </c>
      <c r="G572">
        <v>0.93400000000000005</v>
      </c>
      <c r="H572" s="3">
        <v>0.91800000000000004</v>
      </c>
      <c r="I572" s="3">
        <f t="shared" si="8"/>
        <v>8.1999999999999962E-2</v>
      </c>
      <c r="J572">
        <v>5</v>
      </c>
      <c r="K572">
        <v>19</v>
      </c>
      <c r="L572">
        <v>3.7</v>
      </c>
    </row>
    <row r="573" spans="1:12" x14ac:dyDescent="0.2">
      <c r="A573">
        <v>100</v>
      </c>
      <c r="B573">
        <v>4896</v>
      </c>
      <c r="C573">
        <v>150</v>
      </c>
      <c r="D573">
        <v>0.82</v>
      </c>
      <c r="E573" s="3">
        <v>0.14499999999999999</v>
      </c>
      <c r="F573">
        <v>0.22800000000000001</v>
      </c>
      <c r="G573">
        <v>0.83</v>
      </c>
      <c r="H573" s="3">
        <v>0.96699999999999997</v>
      </c>
      <c r="I573" s="3">
        <f t="shared" si="8"/>
        <v>3.3000000000000029E-2</v>
      </c>
      <c r="J573">
        <v>32</v>
      </c>
      <c r="K573">
        <v>13</v>
      </c>
      <c r="L573">
        <v>2.9</v>
      </c>
    </row>
    <row r="574" spans="1:12" x14ac:dyDescent="0.2">
      <c r="A574">
        <v>46</v>
      </c>
      <c r="B574">
        <v>2237</v>
      </c>
      <c r="C574">
        <v>73</v>
      </c>
      <c r="D574">
        <v>0.82099999999999995</v>
      </c>
      <c r="E574" s="3">
        <v>8.5000000000000006E-2</v>
      </c>
      <c r="F574">
        <v>0.24</v>
      </c>
      <c r="G574">
        <v>0.70499999999999996</v>
      </c>
      <c r="H574" s="3">
        <v>0.97599999999999998</v>
      </c>
      <c r="I574" s="3">
        <f t="shared" si="8"/>
        <v>2.4000000000000021E-2</v>
      </c>
      <c r="J574">
        <v>78</v>
      </c>
      <c r="K574">
        <v>10</v>
      </c>
      <c r="L574">
        <v>4.3</v>
      </c>
    </row>
    <row r="575" spans="1:12" x14ac:dyDescent="0.2">
      <c r="A575">
        <v>66</v>
      </c>
      <c r="B575">
        <v>3122</v>
      </c>
      <c r="C575">
        <v>127</v>
      </c>
      <c r="D575">
        <v>0.82099999999999995</v>
      </c>
      <c r="E575" s="3">
        <v>0.106</v>
      </c>
      <c r="F575">
        <v>6.7000000000000004E-2</v>
      </c>
      <c r="G575">
        <v>0.81100000000000005</v>
      </c>
      <c r="H575" s="3">
        <v>0.97199999999999998</v>
      </c>
      <c r="I575" s="3">
        <f t="shared" si="8"/>
        <v>2.8000000000000025E-2</v>
      </c>
      <c r="J575">
        <v>3</v>
      </c>
      <c r="K575">
        <v>5</v>
      </c>
      <c r="L575">
        <v>8.9</v>
      </c>
    </row>
    <row r="576" spans="1:12" x14ac:dyDescent="0.2">
      <c r="A576">
        <v>87</v>
      </c>
      <c r="B576">
        <v>4115</v>
      </c>
      <c r="C576">
        <v>129</v>
      </c>
      <c r="D576">
        <v>0.82099999999999995</v>
      </c>
      <c r="E576" s="3">
        <v>1.2E-2</v>
      </c>
      <c r="F576">
        <v>0.112</v>
      </c>
      <c r="G576">
        <v>0.86299999999999999</v>
      </c>
      <c r="H576" s="3">
        <v>0.98399999999999999</v>
      </c>
      <c r="I576" s="3">
        <f t="shared" si="8"/>
        <v>1.6000000000000014E-2</v>
      </c>
      <c r="J576">
        <v>99</v>
      </c>
      <c r="K576">
        <v>5</v>
      </c>
      <c r="L576">
        <v>8.3000000000000007</v>
      </c>
    </row>
    <row r="577" spans="1:12" x14ac:dyDescent="0.2">
      <c r="A577">
        <v>88</v>
      </c>
      <c r="B577">
        <v>4365</v>
      </c>
      <c r="C577">
        <v>65</v>
      </c>
      <c r="D577">
        <v>0.82099999999999995</v>
      </c>
      <c r="E577" s="3">
        <v>1.7000000000000001E-2</v>
      </c>
      <c r="F577">
        <v>0.28799999999999998</v>
      </c>
      <c r="G577">
        <v>0.73099999999999998</v>
      </c>
      <c r="H577" s="3">
        <v>0.90700000000000003</v>
      </c>
      <c r="I577" s="3">
        <f t="shared" si="8"/>
        <v>9.2999999999999972E-2</v>
      </c>
      <c r="J577">
        <v>18</v>
      </c>
      <c r="K577">
        <v>19</v>
      </c>
      <c r="L577">
        <v>4.0999999999999996</v>
      </c>
    </row>
    <row r="578" spans="1:12" x14ac:dyDescent="0.2">
      <c r="A578">
        <v>97</v>
      </c>
      <c r="B578">
        <v>4716</v>
      </c>
      <c r="C578">
        <v>24</v>
      </c>
      <c r="D578">
        <v>0.82099999999999995</v>
      </c>
      <c r="E578" s="3">
        <v>0.11799999999999999</v>
      </c>
      <c r="F578">
        <v>0.153</v>
      </c>
      <c r="G578">
        <v>0.79800000000000004</v>
      </c>
      <c r="H578" s="3">
        <v>0.94599999999999995</v>
      </c>
      <c r="I578" s="3">
        <f t="shared" si="8"/>
        <v>5.4000000000000048E-2</v>
      </c>
      <c r="J578">
        <v>62</v>
      </c>
      <c r="K578">
        <v>10</v>
      </c>
      <c r="L578">
        <v>1.4</v>
      </c>
    </row>
    <row r="579" spans="1:12" x14ac:dyDescent="0.2">
      <c r="A579">
        <v>100</v>
      </c>
      <c r="B579">
        <v>4764</v>
      </c>
      <c r="C579">
        <v>29</v>
      </c>
      <c r="D579">
        <v>0.82099999999999995</v>
      </c>
      <c r="E579" s="3">
        <v>5.2999999999999999E-2</v>
      </c>
      <c r="F579">
        <v>0.25900000000000001</v>
      </c>
      <c r="G579">
        <v>0.86799999999999999</v>
      </c>
      <c r="H579" s="3">
        <v>0.97799999999999998</v>
      </c>
      <c r="I579" s="3">
        <f t="shared" ref="I579:I642" si="9">1-H579</f>
        <v>2.200000000000002E-2</v>
      </c>
      <c r="J579">
        <v>86</v>
      </c>
      <c r="K579">
        <v>17</v>
      </c>
      <c r="L579">
        <v>3.9</v>
      </c>
    </row>
    <row r="580" spans="1:12" x14ac:dyDescent="0.2">
      <c r="A580">
        <v>101</v>
      </c>
      <c r="B580">
        <v>4935</v>
      </c>
      <c r="C580">
        <v>133</v>
      </c>
      <c r="D580">
        <v>0.82099999999999995</v>
      </c>
      <c r="E580" s="3">
        <v>6.8000000000000005E-2</v>
      </c>
      <c r="F580">
        <v>8.6999999999999994E-2</v>
      </c>
      <c r="G580">
        <v>0.83099999999999996</v>
      </c>
      <c r="H580" s="3">
        <v>0.98</v>
      </c>
      <c r="I580" s="3">
        <f t="shared" si="9"/>
        <v>2.0000000000000018E-2</v>
      </c>
      <c r="J580">
        <v>64</v>
      </c>
      <c r="K580">
        <v>2</v>
      </c>
      <c r="L580">
        <v>4.5999999999999996</v>
      </c>
    </row>
    <row r="581" spans="1:12" x14ac:dyDescent="0.2">
      <c r="A581">
        <v>71</v>
      </c>
      <c r="B581">
        <v>3450</v>
      </c>
      <c r="C581">
        <v>117</v>
      </c>
      <c r="D581">
        <v>0.82199999999999995</v>
      </c>
      <c r="E581" s="3">
        <v>0.14799999999999999</v>
      </c>
      <c r="F581">
        <v>5.2999999999999999E-2</v>
      </c>
      <c r="G581">
        <v>0.84399999999999997</v>
      </c>
      <c r="H581" s="3">
        <v>0.99199999999999999</v>
      </c>
      <c r="I581" s="3">
        <f t="shared" si="9"/>
        <v>8.0000000000000071E-3</v>
      </c>
      <c r="J581">
        <v>42</v>
      </c>
      <c r="K581">
        <v>1</v>
      </c>
      <c r="L581">
        <v>13.2</v>
      </c>
    </row>
    <row r="582" spans="1:12" x14ac:dyDescent="0.2">
      <c r="A582">
        <v>82</v>
      </c>
      <c r="B582">
        <v>3953</v>
      </c>
      <c r="C582">
        <v>159</v>
      </c>
      <c r="D582">
        <v>0.82199999999999995</v>
      </c>
      <c r="E582" s="3">
        <v>0.13100000000000001</v>
      </c>
      <c r="F582">
        <v>9.0999999999999998E-2</v>
      </c>
      <c r="G582">
        <v>0.85299999999999998</v>
      </c>
      <c r="H582" s="3">
        <v>0.92600000000000005</v>
      </c>
      <c r="I582" s="3">
        <f t="shared" si="9"/>
        <v>7.3999999999999955E-2</v>
      </c>
      <c r="J582">
        <v>31</v>
      </c>
      <c r="K582">
        <v>16</v>
      </c>
      <c r="L582">
        <v>14.5</v>
      </c>
    </row>
    <row r="583" spans="1:12" x14ac:dyDescent="0.2">
      <c r="A583">
        <v>29</v>
      </c>
      <c r="B583">
        <v>1244</v>
      </c>
      <c r="C583">
        <v>96</v>
      </c>
      <c r="D583">
        <v>0.82299999999999995</v>
      </c>
      <c r="E583" s="3">
        <v>0.17199999999999999</v>
      </c>
      <c r="F583">
        <v>0.28599999999999998</v>
      </c>
      <c r="G583">
        <v>0.75700000000000001</v>
      </c>
      <c r="H583" s="3">
        <v>0.90500000000000003</v>
      </c>
      <c r="I583" s="3">
        <f t="shared" si="9"/>
        <v>9.4999999999999973E-2</v>
      </c>
      <c r="J583">
        <v>47</v>
      </c>
      <c r="K583">
        <v>19</v>
      </c>
      <c r="L583">
        <v>14.8</v>
      </c>
    </row>
    <row r="584" spans="1:12" x14ac:dyDescent="0.2">
      <c r="A584">
        <v>30</v>
      </c>
      <c r="B584">
        <v>1436</v>
      </c>
      <c r="C584">
        <v>72</v>
      </c>
      <c r="D584">
        <v>0.82299999999999995</v>
      </c>
      <c r="E584" s="3">
        <v>0.151</v>
      </c>
      <c r="F584">
        <v>0.105</v>
      </c>
      <c r="G584">
        <v>0.94699999999999995</v>
      </c>
      <c r="H584" s="3">
        <v>0.93899999999999995</v>
      </c>
      <c r="I584" s="3">
        <f t="shared" si="9"/>
        <v>6.1000000000000054E-2</v>
      </c>
      <c r="J584">
        <v>58</v>
      </c>
      <c r="K584">
        <v>10</v>
      </c>
      <c r="L584">
        <v>7.1</v>
      </c>
    </row>
    <row r="585" spans="1:12" x14ac:dyDescent="0.2">
      <c r="A585">
        <v>42</v>
      </c>
      <c r="B585">
        <v>1993</v>
      </c>
      <c r="C585">
        <v>31</v>
      </c>
      <c r="D585">
        <v>0.82299999999999995</v>
      </c>
      <c r="E585" s="3">
        <v>9.2999999999999999E-2</v>
      </c>
      <c r="F585">
        <v>0.14099999999999999</v>
      </c>
      <c r="G585">
        <v>0.88600000000000001</v>
      </c>
      <c r="H585" s="3">
        <v>0.96699999999999997</v>
      </c>
      <c r="I585" s="3">
        <f t="shared" si="9"/>
        <v>3.3000000000000029E-2</v>
      </c>
      <c r="J585">
        <v>12</v>
      </c>
      <c r="K585">
        <v>6</v>
      </c>
      <c r="L585">
        <v>11.4</v>
      </c>
    </row>
    <row r="586" spans="1:12" x14ac:dyDescent="0.2">
      <c r="A586">
        <v>45</v>
      </c>
      <c r="B586">
        <v>2106</v>
      </c>
      <c r="C586">
        <v>45</v>
      </c>
      <c r="D586">
        <v>0.82299999999999995</v>
      </c>
      <c r="E586" s="3">
        <v>8.5000000000000006E-2</v>
      </c>
      <c r="F586">
        <v>0.21199999999999999</v>
      </c>
      <c r="G586">
        <v>0.71099999999999997</v>
      </c>
      <c r="H586" s="3">
        <v>0.97099999999999997</v>
      </c>
      <c r="I586" s="3">
        <f t="shared" si="9"/>
        <v>2.9000000000000026E-2</v>
      </c>
      <c r="J586">
        <v>55</v>
      </c>
      <c r="K586">
        <v>14</v>
      </c>
      <c r="L586">
        <v>6.5</v>
      </c>
    </row>
    <row r="587" spans="1:12" x14ac:dyDescent="0.2">
      <c r="A587">
        <v>49</v>
      </c>
      <c r="B587">
        <v>2257</v>
      </c>
      <c r="C587">
        <v>179</v>
      </c>
      <c r="D587">
        <v>0.82299999999999995</v>
      </c>
      <c r="E587" s="3">
        <v>0.159</v>
      </c>
      <c r="F587">
        <v>0.129</v>
      </c>
      <c r="G587">
        <v>0.873</v>
      </c>
      <c r="H587" s="3">
        <v>0.91700000000000004</v>
      </c>
      <c r="I587" s="3">
        <f t="shared" si="9"/>
        <v>8.2999999999999963E-2</v>
      </c>
      <c r="J587">
        <v>65</v>
      </c>
      <c r="K587">
        <v>13</v>
      </c>
      <c r="L587">
        <v>1</v>
      </c>
    </row>
    <row r="588" spans="1:12" x14ac:dyDescent="0.2">
      <c r="A588">
        <v>74</v>
      </c>
      <c r="B588">
        <v>3532</v>
      </c>
      <c r="C588">
        <v>57</v>
      </c>
      <c r="D588">
        <v>0.82299999999999995</v>
      </c>
      <c r="E588" s="3">
        <v>7.3999999999999996E-2</v>
      </c>
      <c r="F588">
        <v>6.9000000000000006E-2</v>
      </c>
      <c r="G588">
        <v>0.95199999999999996</v>
      </c>
      <c r="H588" s="3">
        <v>0.93100000000000005</v>
      </c>
      <c r="I588" s="3">
        <f t="shared" si="9"/>
        <v>6.899999999999995E-2</v>
      </c>
      <c r="J588">
        <v>23</v>
      </c>
      <c r="K588">
        <v>19</v>
      </c>
      <c r="L588">
        <v>7.3</v>
      </c>
    </row>
    <row r="589" spans="1:12" x14ac:dyDescent="0.2">
      <c r="A589">
        <v>27</v>
      </c>
      <c r="B589">
        <v>1085</v>
      </c>
      <c r="C589">
        <v>191</v>
      </c>
      <c r="D589">
        <v>0.82399999999999995</v>
      </c>
      <c r="E589" s="3">
        <v>0.06</v>
      </c>
      <c r="F589">
        <v>5.7000000000000002E-2</v>
      </c>
      <c r="G589">
        <v>0.98599999999999999</v>
      </c>
      <c r="H589" s="3">
        <v>0.96599999999999997</v>
      </c>
      <c r="I589" s="3">
        <f t="shared" si="9"/>
        <v>3.400000000000003E-2</v>
      </c>
      <c r="J589">
        <v>95</v>
      </c>
      <c r="K589">
        <v>8</v>
      </c>
      <c r="L589">
        <v>12.9</v>
      </c>
    </row>
    <row r="590" spans="1:12" x14ac:dyDescent="0.2">
      <c r="A590">
        <v>67</v>
      </c>
      <c r="B590">
        <v>3146</v>
      </c>
      <c r="C590">
        <v>20</v>
      </c>
      <c r="D590">
        <v>0.82399999999999995</v>
      </c>
      <c r="E590" s="3">
        <v>6.8000000000000005E-2</v>
      </c>
      <c r="F590">
        <v>8.2000000000000003E-2</v>
      </c>
      <c r="G590">
        <v>0.83</v>
      </c>
      <c r="H590" s="3">
        <v>0.995</v>
      </c>
      <c r="I590" s="3">
        <f t="shared" si="9"/>
        <v>5.0000000000000044E-3</v>
      </c>
      <c r="J590">
        <v>17</v>
      </c>
      <c r="K590">
        <v>12</v>
      </c>
      <c r="L590">
        <v>4</v>
      </c>
    </row>
    <row r="591" spans="1:12" x14ac:dyDescent="0.2">
      <c r="A591">
        <v>95</v>
      </c>
      <c r="B591">
        <v>4632</v>
      </c>
      <c r="C591">
        <v>77</v>
      </c>
      <c r="D591">
        <v>0.82399999999999995</v>
      </c>
      <c r="E591" s="3">
        <v>0.114</v>
      </c>
      <c r="F591">
        <v>0.15</v>
      </c>
      <c r="G591">
        <v>0.85399999999999998</v>
      </c>
      <c r="H591" s="3">
        <v>0.98699999999999999</v>
      </c>
      <c r="I591" s="3">
        <f t="shared" si="9"/>
        <v>1.3000000000000012E-2</v>
      </c>
      <c r="J591">
        <v>38</v>
      </c>
      <c r="K591">
        <v>10</v>
      </c>
      <c r="L591">
        <v>4.8</v>
      </c>
    </row>
    <row r="592" spans="1:12" x14ac:dyDescent="0.2">
      <c r="A592">
        <v>99</v>
      </c>
      <c r="B592">
        <v>4893</v>
      </c>
      <c r="C592">
        <v>187</v>
      </c>
      <c r="D592">
        <v>0.82399999999999995</v>
      </c>
      <c r="E592" s="3">
        <v>0.108</v>
      </c>
      <c r="F592">
        <v>5.8999999999999997E-2</v>
      </c>
      <c r="G592">
        <v>0.753</v>
      </c>
      <c r="H592" s="3">
        <v>0.92500000000000004</v>
      </c>
      <c r="I592" s="3">
        <f t="shared" si="9"/>
        <v>7.4999999999999956E-2</v>
      </c>
      <c r="J592">
        <v>4</v>
      </c>
      <c r="K592">
        <v>18</v>
      </c>
      <c r="L592">
        <v>10.5</v>
      </c>
    </row>
    <row r="593" spans="1:12" x14ac:dyDescent="0.2">
      <c r="A593">
        <v>24</v>
      </c>
      <c r="B593">
        <v>1117</v>
      </c>
      <c r="C593">
        <v>169</v>
      </c>
      <c r="D593">
        <v>0.82499999999999996</v>
      </c>
      <c r="E593" s="3">
        <v>0.19400000000000001</v>
      </c>
      <c r="F593">
        <v>0.28599999999999998</v>
      </c>
      <c r="G593">
        <v>0.82099999999999995</v>
      </c>
      <c r="H593" s="3">
        <v>0.97599999999999998</v>
      </c>
      <c r="I593" s="3">
        <f t="shared" si="9"/>
        <v>2.4000000000000021E-2</v>
      </c>
      <c r="J593">
        <v>87</v>
      </c>
      <c r="K593">
        <v>9</v>
      </c>
      <c r="L593">
        <v>8.1</v>
      </c>
    </row>
    <row r="594" spans="1:12" x14ac:dyDescent="0.2">
      <c r="A594">
        <v>43</v>
      </c>
      <c r="B594">
        <v>1942</v>
      </c>
      <c r="C594">
        <v>166</v>
      </c>
      <c r="D594">
        <v>0.82499999999999996</v>
      </c>
      <c r="E594" s="3">
        <v>0.17599999999999999</v>
      </c>
      <c r="F594">
        <v>0.11700000000000001</v>
      </c>
      <c r="G594">
        <v>0.97199999999999998</v>
      </c>
      <c r="H594" s="3">
        <v>0.93400000000000005</v>
      </c>
      <c r="I594" s="3">
        <f t="shared" si="9"/>
        <v>6.5999999999999948E-2</v>
      </c>
      <c r="J594">
        <v>99</v>
      </c>
      <c r="K594">
        <v>15</v>
      </c>
      <c r="L594">
        <v>13</v>
      </c>
    </row>
    <row r="595" spans="1:12" x14ac:dyDescent="0.2">
      <c r="A595">
        <v>47</v>
      </c>
      <c r="B595">
        <v>2145</v>
      </c>
      <c r="C595">
        <v>129</v>
      </c>
      <c r="D595">
        <v>0.82499999999999996</v>
      </c>
      <c r="E595" s="3">
        <v>0.02</v>
      </c>
      <c r="F595">
        <v>0.158</v>
      </c>
      <c r="G595">
        <v>0.78200000000000003</v>
      </c>
      <c r="H595" s="3">
        <v>0.90200000000000002</v>
      </c>
      <c r="I595" s="3">
        <f t="shared" si="9"/>
        <v>9.7999999999999976E-2</v>
      </c>
      <c r="J595">
        <v>96</v>
      </c>
      <c r="K595">
        <v>3</v>
      </c>
      <c r="L595">
        <v>9.5</v>
      </c>
    </row>
    <row r="596" spans="1:12" x14ac:dyDescent="0.2">
      <c r="A596">
        <v>49</v>
      </c>
      <c r="B596">
        <v>2251</v>
      </c>
      <c r="C596">
        <v>150</v>
      </c>
      <c r="D596">
        <v>0.82499999999999996</v>
      </c>
      <c r="E596" s="3">
        <v>0.128</v>
      </c>
      <c r="F596">
        <v>0.16400000000000001</v>
      </c>
      <c r="G596">
        <v>0.97199999999999998</v>
      </c>
      <c r="H596" s="3">
        <v>0.90800000000000003</v>
      </c>
      <c r="I596" s="3">
        <f t="shared" si="9"/>
        <v>9.1999999999999971E-2</v>
      </c>
      <c r="J596">
        <v>17</v>
      </c>
      <c r="K596">
        <v>9</v>
      </c>
      <c r="L596">
        <v>7.9</v>
      </c>
    </row>
    <row r="597" spans="1:12" x14ac:dyDescent="0.2">
      <c r="A597">
        <v>52</v>
      </c>
      <c r="B597">
        <v>2390</v>
      </c>
      <c r="C597">
        <v>13</v>
      </c>
      <c r="D597">
        <v>0.82499999999999996</v>
      </c>
      <c r="E597" s="3">
        <v>0.12</v>
      </c>
      <c r="F597">
        <v>0.10299999999999999</v>
      </c>
      <c r="G597">
        <v>0.84699999999999998</v>
      </c>
      <c r="H597" s="3">
        <v>0.94199999999999995</v>
      </c>
      <c r="I597" s="3">
        <f t="shared" si="9"/>
        <v>5.8000000000000052E-2</v>
      </c>
      <c r="J597">
        <v>4</v>
      </c>
      <c r="K597">
        <v>19</v>
      </c>
      <c r="L597">
        <v>9.1</v>
      </c>
    </row>
    <row r="598" spans="1:12" x14ac:dyDescent="0.2">
      <c r="A598">
        <v>82</v>
      </c>
      <c r="B598">
        <v>4026</v>
      </c>
      <c r="C598">
        <v>117</v>
      </c>
      <c r="D598">
        <v>0.82499999999999996</v>
      </c>
      <c r="E598" s="3">
        <v>0.185</v>
      </c>
      <c r="F598">
        <v>0.26700000000000002</v>
      </c>
      <c r="G598">
        <v>0.89200000000000002</v>
      </c>
      <c r="H598" s="3">
        <v>0.996</v>
      </c>
      <c r="I598" s="3">
        <f t="shared" si="9"/>
        <v>4.0000000000000036E-3</v>
      </c>
      <c r="J598">
        <v>95</v>
      </c>
      <c r="K598">
        <v>3</v>
      </c>
      <c r="L598">
        <v>12.9</v>
      </c>
    </row>
    <row r="599" spans="1:12" x14ac:dyDescent="0.2">
      <c r="A599">
        <v>88</v>
      </c>
      <c r="B599">
        <v>4234</v>
      </c>
      <c r="C599">
        <v>163</v>
      </c>
      <c r="D599">
        <v>0.82499999999999996</v>
      </c>
      <c r="E599" s="3">
        <v>0.188</v>
      </c>
      <c r="F599">
        <v>6.4000000000000001E-2</v>
      </c>
      <c r="G599">
        <v>0.73799999999999999</v>
      </c>
      <c r="H599" s="3">
        <v>0.95099999999999996</v>
      </c>
      <c r="I599" s="3">
        <f t="shared" si="9"/>
        <v>4.9000000000000044E-2</v>
      </c>
      <c r="J599">
        <v>72</v>
      </c>
      <c r="K599">
        <v>16</v>
      </c>
      <c r="L599">
        <v>10.5</v>
      </c>
    </row>
    <row r="600" spans="1:12" x14ac:dyDescent="0.2">
      <c r="A600">
        <v>36</v>
      </c>
      <c r="B600">
        <v>1556</v>
      </c>
      <c r="C600">
        <v>48</v>
      </c>
      <c r="D600">
        <v>0.82599999999999996</v>
      </c>
      <c r="E600" s="3">
        <v>6.9000000000000006E-2</v>
      </c>
      <c r="F600">
        <v>0.29299999999999998</v>
      </c>
      <c r="G600">
        <v>0.94799999999999995</v>
      </c>
      <c r="H600" s="3">
        <v>0.98899999999999999</v>
      </c>
      <c r="I600" s="3">
        <f t="shared" si="9"/>
        <v>1.100000000000001E-2</v>
      </c>
      <c r="J600">
        <v>4</v>
      </c>
      <c r="K600">
        <v>19</v>
      </c>
      <c r="L600">
        <v>2.4</v>
      </c>
    </row>
    <row r="601" spans="1:12" x14ac:dyDescent="0.2">
      <c r="A601">
        <v>58</v>
      </c>
      <c r="B601">
        <v>2691</v>
      </c>
      <c r="C601">
        <v>22</v>
      </c>
      <c r="D601">
        <v>0.82599999999999996</v>
      </c>
      <c r="E601" s="3">
        <v>6.4000000000000001E-2</v>
      </c>
      <c r="F601">
        <v>0.20499999999999999</v>
      </c>
      <c r="G601">
        <v>0.77100000000000002</v>
      </c>
      <c r="H601" s="3">
        <v>0.91300000000000003</v>
      </c>
      <c r="I601" s="3">
        <f t="shared" si="9"/>
        <v>8.6999999999999966E-2</v>
      </c>
      <c r="J601">
        <v>99</v>
      </c>
      <c r="K601">
        <v>17</v>
      </c>
      <c r="L601">
        <v>9.1999999999999993</v>
      </c>
    </row>
    <row r="602" spans="1:12" x14ac:dyDescent="0.2">
      <c r="A602">
        <v>75</v>
      </c>
      <c r="B602">
        <v>3670</v>
      </c>
      <c r="C602">
        <v>57</v>
      </c>
      <c r="D602">
        <v>0.82599999999999996</v>
      </c>
      <c r="E602" s="3">
        <v>7.9000000000000001E-2</v>
      </c>
      <c r="F602">
        <v>0.124</v>
      </c>
      <c r="G602">
        <v>0.81</v>
      </c>
      <c r="H602" s="3">
        <v>0.99299999999999999</v>
      </c>
      <c r="I602" s="3">
        <f t="shared" si="9"/>
        <v>7.0000000000000062E-3</v>
      </c>
      <c r="J602">
        <v>7</v>
      </c>
      <c r="K602">
        <v>5</v>
      </c>
      <c r="L602">
        <v>6.2</v>
      </c>
    </row>
    <row r="603" spans="1:12" x14ac:dyDescent="0.2">
      <c r="A603">
        <v>85</v>
      </c>
      <c r="B603">
        <v>4129</v>
      </c>
      <c r="C603">
        <v>196</v>
      </c>
      <c r="D603">
        <v>0.82599999999999996</v>
      </c>
      <c r="E603" s="3">
        <v>5.5E-2</v>
      </c>
      <c r="F603">
        <v>0.29899999999999999</v>
      </c>
      <c r="G603">
        <v>0.82699999999999996</v>
      </c>
      <c r="H603" s="3">
        <v>0.91100000000000003</v>
      </c>
      <c r="I603" s="3">
        <f t="shared" si="9"/>
        <v>8.8999999999999968E-2</v>
      </c>
      <c r="J603">
        <v>24</v>
      </c>
      <c r="K603">
        <v>15</v>
      </c>
      <c r="L603">
        <v>4</v>
      </c>
    </row>
    <row r="604" spans="1:12" x14ac:dyDescent="0.2">
      <c r="A604">
        <v>30</v>
      </c>
      <c r="B604">
        <v>1433</v>
      </c>
      <c r="C604">
        <v>25</v>
      </c>
      <c r="D604">
        <v>0.82699999999999996</v>
      </c>
      <c r="E604" s="3">
        <v>8.5999999999999993E-2</v>
      </c>
      <c r="F604">
        <v>7.5999999999999998E-2</v>
      </c>
      <c r="G604">
        <v>0.96</v>
      </c>
      <c r="H604" s="3">
        <v>0.93500000000000005</v>
      </c>
      <c r="I604" s="3">
        <f t="shared" si="9"/>
        <v>6.4999999999999947E-2</v>
      </c>
      <c r="J604">
        <v>37</v>
      </c>
      <c r="K604">
        <v>2</v>
      </c>
      <c r="L604">
        <v>13.7</v>
      </c>
    </row>
    <row r="605" spans="1:12" x14ac:dyDescent="0.2">
      <c r="A605">
        <v>42</v>
      </c>
      <c r="B605">
        <v>1990</v>
      </c>
      <c r="C605">
        <v>12</v>
      </c>
      <c r="D605">
        <v>0.82699999999999996</v>
      </c>
      <c r="E605" s="3">
        <v>0.152</v>
      </c>
      <c r="F605">
        <v>0.24299999999999999</v>
      </c>
      <c r="G605">
        <v>0.88600000000000001</v>
      </c>
      <c r="H605" s="3">
        <v>0.94599999999999995</v>
      </c>
      <c r="I605" s="3">
        <f t="shared" si="9"/>
        <v>5.4000000000000048E-2</v>
      </c>
      <c r="J605">
        <v>75</v>
      </c>
      <c r="K605">
        <v>8</v>
      </c>
      <c r="L605">
        <v>3.2</v>
      </c>
    </row>
    <row r="606" spans="1:12" x14ac:dyDescent="0.2">
      <c r="A606">
        <v>70</v>
      </c>
      <c r="B606">
        <v>3408</v>
      </c>
      <c r="C606">
        <v>10</v>
      </c>
      <c r="D606">
        <v>0.82699999999999996</v>
      </c>
      <c r="E606" s="3">
        <v>5.2999999999999999E-2</v>
      </c>
      <c r="F606">
        <v>0.21299999999999999</v>
      </c>
      <c r="G606">
        <v>0.95399999999999996</v>
      </c>
      <c r="H606" s="3">
        <v>0.97299999999999998</v>
      </c>
      <c r="I606" s="3">
        <f t="shared" si="9"/>
        <v>2.7000000000000024E-2</v>
      </c>
      <c r="J606">
        <v>19</v>
      </c>
      <c r="K606">
        <v>13</v>
      </c>
      <c r="L606">
        <v>4.2</v>
      </c>
    </row>
    <row r="607" spans="1:12" x14ac:dyDescent="0.2">
      <c r="A607">
        <v>99</v>
      </c>
      <c r="B607">
        <v>4896</v>
      </c>
      <c r="C607">
        <v>105</v>
      </c>
      <c r="D607">
        <v>0.82699999999999996</v>
      </c>
      <c r="E607" s="3">
        <v>0.17799999999999999</v>
      </c>
      <c r="F607">
        <v>0.19</v>
      </c>
      <c r="G607">
        <v>0.98799999999999999</v>
      </c>
      <c r="H607" s="3">
        <v>0.92300000000000004</v>
      </c>
      <c r="I607" s="3">
        <f t="shared" si="9"/>
        <v>7.6999999999999957E-2</v>
      </c>
      <c r="J607">
        <v>68</v>
      </c>
      <c r="K607">
        <v>13</v>
      </c>
      <c r="L607">
        <v>9.6</v>
      </c>
    </row>
    <row r="608" spans="1:12" x14ac:dyDescent="0.2">
      <c r="A608">
        <v>25</v>
      </c>
      <c r="B608">
        <v>1111</v>
      </c>
      <c r="C608">
        <v>65</v>
      </c>
      <c r="D608">
        <v>0.82799999999999996</v>
      </c>
      <c r="E608" s="3">
        <v>5.8999999999999997E-2</v>
      </c>
      <c r="F608">
        <v>0.26400000000000001</v>
      </c>
      <c r="G608">
        <v>0.876</v>
      </c>
      <c r="H608" s="3">
        <v>0.99099999999999999</v>
      </c>
      <c r="I608" s="3">
        <f t="shared" si="9"/>
        <v>9.000000000000008E-3</v>
      </c>
      <c r="J608">
        <v>26</v>
      </c>
      <c r="K608">
        <v>1</v>
      </c>
      <c r="L608">
        <v>13.2</v>
      </c>
    </row>
    <row r="609" spans="1:12" x14ac:dyDescent="0.2">
      <c r="A609">
        <v>45</v>
      </c>
      <c r="B609">
        <v>2102</v>
      </c>
      <c r="C609">
        <v>140</v>
      </c>
      <c r="D609">
        <v>0.82799999999999996</v>
      </c>
      <c r="E609" s="3">
        <v>5.1999999999999998E-2</v>
      </c>
      <c r="F609">
        <v>8.1000000000000003E-2</v>
      </c>
      <c r="G609">
        <v>0.75</v>
      </c>
      <c r="H609" s="3">
        <v>0.97499999999999998</v>
      </c>
      <c r="I609" s="3">
        <f t="shared" si="9"/>
        <v>2.5000000000000022E-2</v>
      </c>
      <c r="J609">
        <v>87</v>
      </c>
      <c r="K609">
        <v>3</v>
      </c>
      <c r="L609">
        <v>8.5</v>
      </c>
    </row>
    <row r="610" spans="1:12" x14ac:dyDescent="0.2">
      <c r="A610">
        <v>68</v>
      </c>
      <c r="B610">
        <v>3204</v>
      </c>
      <c r="C610">
        <v>143</v>
      </c>
      <c r="D610">
        <v>0.82799999999999996</v>
      </c>
      <c r="E610" s="3">
        <v>0.16200000000000001</v>
      </c>
      <c r="F610">
        <v>0.115</v>
      </c>
      <c r="G610">
        <v>0.77300000000000002</v>
      </c>
      <c r="H610" s="3">
        <v>0.91300000000000003</v>
      </c>
      <c r="I610" s="3">
        <f t="shared" si="9"/>
        <v>8.6999999999999966E-2</v>
      </c>
      <c r="J610">
        <v>1</v>
      </c>
      <c r="K610">
        <v>13</v>
      </c>
      <c r="L610">
        <v>12.8</v>
      </c>
    </row>
    <row r="611" spans="1:12" x14ac:dyDescent="0.2">
      <c r="A611">
        <v>94</v>
      </c>
      <c r="B611">
        <v>4431</v>
      </c>
      <c r="C611">
        <v>71</v>
      </c>
      <c r="D611">
        <v>0.82799999999999996</v>
      </c>
      <c r="E611" s="3">
        <v>9.7000000000000003E-2</v>
      </c>
      <c r="F611">
        <v>0.23</v>
      </c>
      <c r="G611">
        <v>0.747</v>
      </c>
      <c r="H611" s="3">
        <v>0.99</v>
      </c>
      <c r="I611" s="3">
        <f t="shared" si="9"/>
        <v>1.0000000000000009E-2</v>
      </c>
      <c r="J611">
        <v>6</v>
      </c>
      <c r="K611">
        <v>9</v>
      </c>
      <c r="L611">
        <v>13.4</v>
      </c>
    </row>
    <row r="612" spans="1:12" x14ac:dyDescent="0.2">
      <c r="A612">
        <v>42</v>
      </c>
      <c r="B612">
        <v>1885</v>
      </c>
      <c r="C612">
        <v>92</v>
      </c>
      <c r="D612">
        <v>0.82899999999999996</v>
      </c>
      <c r="E612" s="3">
        <v>0.193</v>
      </c>
      <c r="F612">
        <v>0.154</v>
      </c>
      <c r="G612">
        <v>0.84899999999999998</v>
      </c>
      <c r="H612" s="3">
        <v>0.996</v>
      </c>
      <c r="I612" s="3">
        <f t="shared" si="9"/>
        <v>4.0000000000000036E-3</v>
      </c>
      <c r="J612">
        <v>24</v>
      </c>
      <c r="K612">
        <v>6</v>
      </c>
      <c r="L612">
        <v>12</v>
      </c>
    </row>
    <row r="613" spans="1:12" x14ac:dyDescent="0.2">
      <c r="A613">
        <v>61</v>
      </c>
      <c r="B613">
        <v>2809</v>
      </c>
      <c r="C613">
        <v>47</v>
      </c>
      <c r="D613">
        <v>0.82899999999999996</v>
      </c>
      <c r="E613" s="3">
        <v>0.192</v>
      </c>
      <c r="F613">
        <v>0.28399999999999997</v>
      </c>
      <c r="G613">
        <v>0.89200000000000002</v>
      </c>
      <c r="H613" s="3">
        <v>0.94199999999999995</v>
      </c>
      <c r="I613" s="3">
        <f t="shared" si="9"/>
        <v>5.8000000000000052E-2</v>
      </c>
      <c r="J613">
        <v>88</v>
      </c>
      <c r="K613">
        <v>3</v>
      </c>
      <c r="L613">
        <v>14.1</v>
      </c>
    </row>
    <row r="614" spans="1:12" x14ac:dyDescent="0.2">
      <c r="A614">
        <v>65</v>
      </c>
      <c r="B614">
        <v>3050</v>
      </c>
      <c r="C614">
        <v>134</v>
      </c>
      <c r="D614">
        <v>0.82899999999999996</v>
      </c>
      <c r="E614" s="3">
        <v>0.18</v>
      </c>
      <c r="F614">
        <v>0.24399999999999999</v>
      </c>
      <c r="G614">
        <v>0.95699999999999996</v>
      </c>
      <c r="H614" s="3">
        <v>0.92100000000000004</v>
      </c>
      <c r="I614" s="3">
        <f t="shared" si="9"/>
        <v>7.8999999999999959E-2</v>
      </c>
      <c r="J614">
        <v>26</v>
      </c>
      <c r="K614">
        <v>0</v>
      </c>
      <c r="L614">
        <v>1.2</v>
      </c>
    </row>
    <row r="615" spans="1:12" x14ac:dyDescent="0.2">
      <c r="A615">
        <v>75</v>
      </c>
      <c r="B615">
        <v>3480</v>
      </c>
      <c r="C615">
        <v>199</v>
      </c>
      <c r="D615">
        <v>0.82899999999999996</v>
      </c>
      <c r="E615" s="3">
        <v>0.03</v>
      </c>
      <c r="F615">
        <v>0.113</v>
      </c>
      <c r="G615">
        <v>0.90300000000000002</v>
      </c>
      <c r="H615" s="3">
        <v>0.93200000000000005</v>
      </c>
      <c r="I615" s="3">
        <f t="shared" si="9"/>
        <v>6.7999999999999949E-2</v>
      </c>
      <c r="J615">
        <v>74</v>
      </c>
      <c r="K615">
        <v>13</v>
      </c>
      <c r="L615">
        <v>9.3000000000000007</v>
      </c>
    </row>
    <row r="616" spans="1:12" x14ac:dyDescent="0.2">
      <c r="A616">
        <v>98</v>
      </c>
      <c r="B616">
        <v>4851</v>
      </c>
      <c r="C616">
        <v>148</v>
      </c>
      <c r="D616">
        <v>0.83099999999999996</v>
      </c>
      <c r="E616" s="3">
        <v>0.193</v>
      </c>
      <c r="F616">
        <v>5.5E-2</v>
      </c>
      <c r="G616">
        <v>0.84099999999999997</v>
      </c>
      <c r="H616" s="3">
        <v>0.96699999999999997</v>
      </c>
      <c r="I616" s="3">
        <f t="shared" si="9"/>
        <v>3.3000000000000029E-2</v>
      </c>
      <c r="J616">
        <v>22</v>
      </c>
      <c r="K616">
        <v>3</v>
      </c>
      <c r="L616">
        <v>6.7</v>
      </c>
    </row>
    <row r="617" spans="1:12" x14ac:dyDescent="0.2">
      <c r="A617">
        <v>25</v>
      </c>
      <c r="B617">
        <v>1162</v>
      </c>
      <c r="C617">
        <v>91</v>
      </c>
      <c r="D617">
        <v>0.83199999999999996</v>
      </c>
      <c r="E617" s="3">
        <v>0.17299999999999999</v>
      </c>
      <c r="F617">
        <v>0.113</v>
      </c>
      <c r="G617">
        <v>0.98299999999999998</v>
      </c>
      <c r="H617" s="3">
        <v>0.92800000000000005</v>
      </c>
      <c r="I617" s="3">
        <f t="shared" si="9"/>
        <v>7.1999999999999953E-2</v>
      </c>
      <c r="J617">
        <v>99</v>
      </c>
      <c r="K617">
        <v>16</v>
      </c>
      <c r="L617">
        <v>2.7</v>
      </c>
    </row>
    <row r="618" spans="1:12" x14ac:dyDescent="0.2">
      <c r="A618">
        <v>29</v>
      </c>
      <c r="B618">
        <v>1328</v>
      </c>
      <c r="C618">
        <v>177</v>
      </c>
      <c r="D618">
        <v>0.83199999999999996</v>
      </c>
      <c r="E618" s="3">
        <v>0.10199999999999999</v>
      </c>
      <c r="F618">
        <v>9.1999999999999998E-2</v>
      </c>
      <c r="G618">
        <v>0.88100000000000001</v>
      </c>
      <c r="H618" s="3">
        <v>0.97299999999999998</v>
      </c>
      <c r="I618" s="3">
        <f t="shared" si="9"/>
        <v>2.7000000000000024E-2</v>
      </c>
      <c r="J618">
        <v>57</v>
      </c>
      <c r="K618">
        <v>3</v>
      </c>
      <c r="L618">
        <v>11.4</v>
      </c>
    </row>
    <row r="619" spans="1:12" x14ac:dyDescent="0.2">
      <c r="A619">
        <v>38</v>
      </c>
      <c r="B619">
        <v>1660</v>
      </c>
      <c r="C619">
        <v>156</v>
      </c>
      <c r="D619">
        <v>0.83199999999999996</v>
      </c>
      <c r="E619" s="3">
        <v>0.156</v>
      </c>
      <c r="F619">
        <v>0.182</v>
      </c>
      <c r="G619">
        <v>0.95299999999999996</v>
      </c>
      <c r="H619" s="3">
        <v>0.96499999999999997</v>
      </c>
      <c r="I619" s="3">
        <f t="shared" si="9"/>
        <v>3.5000000000000031E-2</v>
      </c>
      <c r="J619">
        <v>40</v>
      </c>
      <c r="K619">
        <v>19</v>
      </c>
      <c r="L619">
        <v>11.5</v>
      </c>
    </row>
    <row r="620" spans="1:12" x14ac:dyDescent="0.2">
      <c r="A620">
        <v>35</v>
      </c>
      <c r="B620">
        <v>1665</v>
      </c>
      <c r="C620">
        <v>68</v>
      </c>
      <c r="D620">
        <v>0.83199999999999996</v>
      </c>
      <c r="E620" s="3">
        <v>4.2000000000000003E-2</v>
      </c>
      <c r="F620">
        <v>0.28100000000000003</v>
      </c>
      <c r="G620">
        <v>0.93400000000000005</v>
      </c>
      <c r="H620" s="3">
        <v>0.95399999999999996</v>
      </c>
      <c r="I620" s="3">
        <f t="shared" si="9"/>
        <v>4.6000000000000041E-2</v>
      </c>
      <c r="J620">
        <v>28</v>
      </c>
      <c r="K620">
        <v>15</v>
      </c>
      <c r="L620">
        <v>1.9</v>
      </c>
    </row>
    <row r="621" spans="1:12" x14ac:dyDescent="0.2">
      <c r="A621">
        <v>70</v>
      </c>
      <c r="B621">
        <v>3349</v>
      </c>
      <c r="C621">
        <v>11</v>
      </c>
      <c r="D621">
        <v>0.83199999999999996</v>
      </c>
      <c r="E621" s="3">
        <v>1.4999999999999999E-2</v>
      </c>
      <c r="F621">
        <v>0.128</v>
      </c>
      <c r="G621">
        <v>0.88500000000000001</v>
      </c>
      <c r="H621" s="3">
        <v>0.98199999999999998</v>
      </c>
      <c r="I621" s="3">
        <f t="shared" si="9"/>
        <v>1.8000000000000016E-2</v>
      </c>
      <c r="J621">
        <v>26</v>
      </c>
      <c r="K621">
        <v>0</v>
      </c>
      <c r="L621">
        <v>9.1</v>
      </c>
    </row>
    <row r="622" spans="1:12" x14ac:dyDescent="0.2">
      <c r="A622">
        <v>72</v>
      </c>
      <c r="B622">
        <v>3527</v>
      </c>
      <c r="C622">
        <v>156</v>
      </c>
      <c r="D622">
        <v>0.83199999999999996</v>
      </c>
      <c r="E622" s="3">
        <v>2.1000000000000001E-2</v>
      </c>
      <c r="F622">
        <v>0.29099999999999998</v>
      </c>
      <c r="G622">
        <v>0.81599999999999995</v>
      </c>
      <c r="H622" s="3">
        <v>0.94199999999999995</v>
      </c>
      <c r="I622" s="3">
        <f t="shared" si="9"/>
        <v>5.8000000000000052E-2</v>
      </c>
      <c r="J622">
        <v>37</v>
      </c>
      <c r="K622">
        <v>9</v>
      </c>
      <c r="L622">
        <v>12.6</v>
      </c>
    </row>
    <row r="623" spans="1:12" x14ac:dyDescent="0.2">
      <c r="A623">
        <v>77</v>
      </c>
      <c r="B623">
        <v>3783</v>
      </c>
      <c r="C623">
        <v>14</v>
      </c>
      <c r="D623">
        <v>0.83199999999999996</v>
      </c>
      <c r="E623" s="3">
        <v>0.14499999999999999</v>
      </c>
      <c r="F623">
        <v>0.192</v>
      </c>
      <c r="G623">
        <v>0.84599999999999997</v>
      </c>
      <c r="H623" s="3">
        <v>0.98399999999999999</v>
      </c>
      <c r="I623" s="3">
        <f t="shared" si="9"/>
        <v>1.6000000000000014E-2</v>
      </c>
      <c r="J623">
        <v>10</v>
      </c>
      <c r="K623">
        <v>19</v>
      </c>
      <c r="L623">
        <v>12.9</v>
      </c>
    </row>
    <row r="624" spans="1:12" x14ac:dyDescent="0.2">
      <c r="A624">
        <v>40</v>
      </c>
      <c r="B624">
        <v>1796</v>
      </c>
      <c r="C624">
        <v>180</v>
      </c>
      <c r="D624">
        <v>0.83299999999999996</v>
      </c>
      <c r="E624" s="3">
        <v>0.19900000000000001</v>
      </c>
      <c r="F624">
        <v>0.18</v>
      </c>
      <c r="G624">
        <v>0.71199999999999997</v>
      </c>
      <c r="H624" s="3">
        <v>0.90500000000000003</v>
      </c>
      <c r="I624" s="3">
        <f t="shared" si="9"/>
        <v>9.4999999999999973E-2</v>
      </c>
      <c r="J624">
        <v>97</v>
      </c>
      <c r="K624">
        <v>0</v>
      </c>
      <c r="L624">
        <v>5.9</v>
      </c>
    </row>
    <row r="625" spans="1:12" x14ac:dyDescent="0.2">
      <c r="A625">
        <v>41</v>
      </c>
      <c r="B625">
        <v>1946</v>
      </c>
      <c r="C625">
        <v>85</v>
      </c>
      <c r="D625">
        <v>0.83299999999999996</v>
      </c>
      <c r="E625" s="3">
        <v>0.17599999999999999</v>
      </c>
      <c r="F625">
        <v>0.20599999999999999</v>
      </c>
      <c r="G625">
        <v>0.89900000000000002</v>
      </c>
      <c r="H625" s="3">
        <v>0.93200000000000005</v>
      </c>
      <c r="I625" s="3">
        <f t="shared" si="9"/>
        <v>6.7999999999999949E-2</v>
      </c>
      <c r="J625">
        <v>93</v>
      </c>
      <c r="K625">
        <v>15</v>
      </c>
      <c r="L625">
        <v>12.6</v>
      </c>
    </row>
    <row r="626" spans="1:12" x14ac:dyDescent="0.2">
      <c r="A626">
        <v>89</v>
      </c>
      <c r="B626">
        <v>4354</v>
      </c>
      <c r="C626">
        <v>175</v>
      </c>
      <c r="D626">
        <v>0.83299999999999996</v>
      </c>
      <c r="E626" s="3">
        <v>9.7000000000000003E-2</v>
      </c>
      <c r="F626">
        <v>9.7000000000000003E-2</v>
      </c>
      <c r="G626">
        <v>0.91100000000000003</v>
      </c>
      <c r="H626" s="3">
        <v>0.94199999999999995</v>
      </c>
      <c r="I626" s="3">
        <f t="shared" si="9"/>
        <v>5.8000000000000052E-2</v>
      </c>
      <c r="J626">
        <v>52</v>
      </c>
      <c r="K626">
        <v>2</v>
      </c>
      <c r="L626">
        <v>3.7</v>
      </c>
    </row>
    <row r="627" spans="1:12" x14ac:dyDescent="0.2">
      <c r="A627">
        <v>34</v>
      </c>
      <c r="B627">
        <v>1600</v>
      </c>
      <c r="C627">
        <v>99</v>
      </c>
      <c r="D627">
        <v>0.83399999999999996</v>
      </c>
      <c r="E627" s="3">
        <v>0.19500000000000001</v>
      </c>
      <c r="F627">
        <v>6.5000000000000002E-2</v>
      </c>
      <c r="G627">
        <v>0.81299999999999994</v>
      </c>
      <c r="H627" s="3">
        <v>0.92300000000000004</v>
      </c>
      <c r="I627" s="3">
        <f t="shared" si="9"/>
        <v>7.6999999999999957E-2</v>
      </c>
      <c r="J627">
        <v>10</v>
      </c>
      <c r="K627">
        <v>15</v>
      </c>
      <c r="L627">
        <v>8.4</v>
      </c>
    </row>
    <row r="628" spans="1:12" x14ac:dyDescent="0.2">
      <c r="A628">
        <v>44</v>
      </c>
      <c r="B628">
        <v>2162</v>
      </c>
      <c r="C628">
        <v>169</v>
      </c>
      <c r="D628">
        <v>0.83399999999999996</v>
      </c>
      <c r="E628" s="3">
        <v>7.3999999999999996E-2</v>
      </c>
      <c r="F628">
        <v>9.1999999999999998E-2</v>
      </c>
      <c r="G628">
        <v>0.71399999999999997</v>
      </c>
      <c r="H628" s="3">
        <v>0.99299999999999999</v>
      </c>
      <c r="I628" s="3">
        <f t="shared" si="9"/>
        <v>7.0000000000000062E-3</v>
      </c>
      <c r="J628">
        <v>34</v>
      </c>
      <c r="K628">
        <v>18</v>
      </c>
      <c r="L628">
        <v>13.8</v>
      </c>
    </row>
    <row r="629" spans="1:12" x14ac:dyDescent="0.2">
      <c r="A629">
        <v>77</v>
      </c>
      <c r="B629">
        <v>3801</v>
      </c>
      <c r="C629">
        <v>65</v>
      </c>
      <c r="D629">
        <v>0.83399999999999996</v>
      </c>
      <c r="E629" s="3">
        <v>0.109</v>
      </c>
      <c r="F629">
        <v>0.1</v>
      </c>
      <c r="G629">
        <v>0.85699999999999998</v>
      </c>
      <c r="H629" s="3">
        <v>0.94199999999999995</v>
      </c>
      <c r="I629" s="3">
        <f t="shared" si="9"/>
        <v>5.8000000000000052E-2</v>
      </c>
      <c r="J629">
        <v>48</v>
      </c>
      <c r="K629">
        <v>16</v>
      </c>
      <c r="L629">
        <v>1.8</v>
      </c>
    </row>
    <row r="630" spans="1:12" x14ac:dyDescent="0.2">
      <c r="A630">
        <v>99</v>
      </c>
      <c r="B630">
        <v>4886</v>
      </c>
      <c r="C630">
        <v>63</v>
      </c>
      <c r="D630">
        <v>0.83399999999999996</v>
      </c>
      <c r="E630" s="3">
        <v>6.4000000000000001E-2</v>
      </c>
      <c r="F630">
        <v>0.11700000000000001</v>
      </c>
      <c r="G630">
        <v>0.85</v>
      </c>
      <c r="H630" s="3">
        <v>0.94</v>
      </c>
      <c r="I630" s="3">
        <f t="shared" si="9"/>
        <v>6.0000000000000053E-2</v>
      </c>
      <c r="J630">
        <v>60</v>
      </c>
      <c r="K630">
        <v>2</v>
      </c>
      <c r="L630">
        <v>2.7</v>
      </c>
    </row>
    <row r="631" spans="1:12" x14ac:dyDescent="0.2">
      <c r="A631">
        <v>54</v>
      </c>
      <c r="B631">
        <v>2479</v>
      </c>
      <c r="C631">
        <v>106</v>
      </c>
      <c r="D631">
        <v>0.83499999999999996</v>
      </c>
      <c r="E631" s="3">
        <v>9.8000000000000004E-2</v>
      </c>
      <c r="F631">
        <v>0.24399999999999999</v>
      </c>
      <c r="G631">
        <v>0.81699999999999995</v>
      </c>
      <c r="H631" s="3">
        <v>0.98399999999999999</v>
      </c>
      <c r="I631" s="3">
        <f t="shared" si="9"/>
        <v>1.6000000000000014E-2</v>
      </c>
      <c r="J631">
        <v>50</v>
      </c>
      <c r="K631">
        <v>2</v>
      </c>
      <c r="L631">
        <v>8</v>
      </c>
    </row>
    <row r="632" spans="1:12" x14ac:dyDescent="0.2">
      <c r="A632">
        <v>58</v>
      </c>
      <c r="B632">
        <v>2843</v>
      </c>
      <c r="C632">
        <v>145</v>
      </c>
      <c r="D632">
        <v>0.83499999999999996</v>
      </c>
      <c r="E632" s="3">
        <v>0.1</v>
      </c>
      <c r="F632">
        <v>0.19800000000000001</v>
      </c>
      <c r="G632">
        <v>0.82499999999999996</v>
      </c>
      <c r="H632" s="3">
        <v>0.95199999999999996</v>
      </c>
      <c r="I632" s="3">
        <f t="shared" si="9"/>
        <v>4.8000000000000043E-2</v>
      </c>
      <c r="J632">
        <v>26</v>
      </c>
      <c r="K632">
        <v>7</v>
      </c>
      <c r="L632">
        <v>10.5</v>
      </c>
    </row>
    <row r="633" spans="1:12" x14ac:dyDescent="0.2">
      <c r="A633">
        <v>81</v>
      </c>
      <c r="B633">
        <v>3823</v>
      </c>
      <c r="C633">
        <v>27</v>
      </c>
      <c r="D633">
        <v>0.83499999999999996</v>
      </c>
      <c r="E633" s="3">
        <v>0.151</v>
      </c>
      <c r="F633">
        <v>5.1999999999999998E-2</v>
      </c>
      <c r="G633">
        <v>0.76600000000000001</v>
      </c>
      <c r="H633" s="3">
        <v>0.97199999999999998</v>
      </c>
      <c r="I633" s="3">
        <f t="shared" si="9"/>
        <v>2.8000000000000025E-2</v>
      </c>
      <c r="J633">
        <v>20</v>
      </c>
      <c r="K633">
        <v>12</v>
      </c>
      <c r="L633">
        <v>8.6</v>
      </c>
    </row>
    <row r="634" spans="1:12" x14ac:dyDescent="0.2">
      <c r="A634">
        <v>90</v>
      </c>
      <c r="B634">
        <v>4237</v>
      </c>
      <c r="C634">
        <v>184</v>
      </c>
      <c r="D634">
        <v>0.83499999999999996</v>
      </c>
      <c r="E634" s="3">
        <v>2.5999999999999999E-2</v>
      </c>
      <c r="F634">
        <v>0.16500000000000001</v>
      </c>
      <c r="G634">
        <v>0.72199999999999998</v>
      </c>
      <c r="H634" s="3">
        <v>0.96799999999999997</v>
      </c>
      <c r="I634" s="3">
        <f t="shared" si="9"/>
        <v>3.2000000000000028E-2</v>
      </c>
      <c r="J634">
        <v>2</v>
      </c>
      <c r="K634">
        <v>12</v>
      </c>
      <c r="L634">
        <v>10.9</v>
      </c>
    </row>
    <row r="635" spans="1:12" x14ac:dyDescent="0.2">
      <c r="A635">
        <v>41</v>
      </c>
      <c r="B635">
        <v>1775</v>
      </c>
      <c r="C635">
        <v>48</v>
      </c>
      <c r="D635">
        <v>0.83599999999999997</v>
      </c>
      <c r="E635" s="3">
        <v>2.1999999999999999E-2</v>
      </c>
      <c r="F635">
        <v>0.10100000000000001</v>
      </c>
      <c r="G635">
        <v>0.879</v>
      </c>
      <c r="H635" s="3">
        <v>0.97199999999999998</v>
      </c>
      <c r="I635" s="3">
        <f t="shared" si="9"/>
        <v>2.8000000000000025E-2</v>
      </c>
      <c r="J635">
        <v>2</v>
      </c>
      <c r="K635">
        <v>12</v>
      </c>
      <c r="L635">
        <v>1.8</v>
      </c>
    </row>
    <row r="636" spans="1:12" x14ac:dyDescent="0.2">
      <c r="A636">
        <v>43</v>
      </c>
      <c r="B636">
        <v>1929</v>
      </c>
      <c r="C636">
        <v>119</v>
      </c>
      <c r="D636">
        <v>0.83599999999999997</v>
      </c>
      <c r="E636" s="3">
        <v>5.2999999999999999E-2</v>
      </c>
      <c r="F636">
        <v>0.16600000000000001</v>
      </c>
      <c r="G636">
        <v>0.83199999999999996</v>
      </c>
      <c r="H636" s="3">
        <v>0.91300000000000003</v>
      </c>
      <c r="I636" s="3">
        <f t="shared" si="9"/>
        <v>8.6999999999999966E-2</v>
      </c>
      <c r="J636">
        <v>77</v>
      </c>
      <c r="K636">
        <v>0</v>
      </c>
      <c r="L636">
        <v>6.2</v>
      </c>
    </row>
    <row r="637" spans="1:12" x14ac:dyDescent="0.2">
      <c r="A637">
        <v>49</v>
      </c>
      <c r="B637">
        <v>2296</v>
      </c>
      <c r="C637">
        <v>162</v>
      </c>
      <c r="D637">
        <v>0.83599999999999997</v>
      </c>
      <c r="E637" s="3">
        <v>8.6999999999999994E-2</v>
      </c>
      <c r="F637">
        <v>0.29199999999999998</v>
      </c>
      <c r="G637">
        <v>0.92100000000000004</v>
      </c>
      <c r="H637" s="3">
        <v>0.93100000000000005</v>
      </c>
      <c r="I637" s="3">
        <f t="shared" si="9"/>
        <v>6.899999999999995E-2</v>
      </c>
      <c r="J637">
        <v>45</v>
      </c>
      <c r="K637">
        <v>18</v>
      </c>
      <c r="L637">
        <v>12.7</v>
      </c>
    </row>
    <row r="638" spans="1:12" x14ac:dyDescent="0.2">
      <c r="A638">
        <v>48</v>
      </c>
      <c r="B638">
        <v>2134</v>
      </c>
      <c r="C638">
        <v>166</v>
      </c>
      <c r="D638">
        <v>0.83699999999999997</v>
      </c>
      <c r="E638" s="3">
        <v>8.6999999999999994E-2</v>
      </c>
      <c r="F638">
        <v>0.28899999999999998</v>
      </c>
      <c r="G638">
        <v>0.73799999999999999</v>
      </c>
      <c r="H638" s="3">
        <v>0.95099999999999996</v>
      </c>
      <c r="I638" s="3">
        <f t="shared" si="9"/>
        <v>4.9000000000000044E-2</v>
      </c>
      <c r="J638">
        <v>37</v>
      </c>
      <c r="K638">
        <v>0</v>
      </c>
      <c r="L638">
        <v>1.3</v>
      </c>
    </row>
    <row r="639" spans="1:12" x14ac:dyDescent="0.2">
      <c r="A639">
        <v>80</v>
      </c>
      <c r="B639">
        <v>3792</v>
      </c>
      <c r="C639">
        <v>191</v>
      </c>
      <c r="D639">
        <v>0.83699999999999997</v>
      </c>
      <c r="E639" s="3">
        <v>3.7999999999999999E-2</v>
      </c>
      <c r="F639">
        <v>0.114</v>
      </c>
      <c r="G639">
        <v>0.90600000000000003</v>
      </c>
      <c r="H639" s="3">
        <v>0.93700000000000006</v>
      </c>
      <c r="I639" s="3">
        <f t="shared" si="9"/>
        <v>6.2999999999999945E-2</v>
      </c>
      <c r="J639">
        <v>15</v>
      </c>
      <c r="K639">
        <v>3</v>
      </c>
      <c r="L639">
        <v>8.5</v>
      </c>
    </row>
    <row r="640" spans="1:12" x14ac:dyDescent="0.2">
      <c r="A640">
        <v>65</v>
      </c>
      <c r="B640">
        <v>3179</v>
      </c>
      <c r="C640">
        <v>46</v>
      </c>
      <c r="D640">
        <v>0.83799999999999997</v>
      </c>
      <c r="E640" s="3">
        <v>7.2999999999999995E-2</v>
      </c>
      <c r="F640">
        <v>8.3000000000000004E-2</v>
      </c>
      <c r="G640">
        <v>0.72299999999999998</v>
      </c>
      <c r="H640" s="3">
        <v>0.997</v>
      </c>
      <c r="I640" s="3">
        <f t="shared" si="9"/>
        <v>3.0000000000000027E-3</v>
      </c>
      <c r="J640">
        <v>3</v>
      </c>
      <c r="K640">
        <v>8</v>
      </c>
      <c r="L640">
        <v>10.3</v>
      </c>
    </row>
    <row r="641" spans="1:12" x14ac:dyDescent="0.2">
      <c r="A641">
        <v>96</v>
      </c>
      <c r="B641">
        <v>4730</v>
      </c>
      <c r="C641">
        <v>66</v>
      </c>
      <c r="D641">
        <v>0.83799999999999997</v>
      </c>
      <c r="E641" s="3">
        <v>5.7000000000000002E-2</v>
      </c>
      <c r="F641">
        <v>0.124</v>
      </c>
      <c r="G641">
        <v>0.86599999999999999</v>
      </c>
      <c r="H641" s="3">
        <v>0.999</v>
      </c>
      <c r="I641" s="3">
        <f t="shared" si="9"/>
        <v>1.0000000000000009E-3</v>
      </c>
      <c r="J641">
        <v>53</v>
      </c>
      <c r="K641">
        <v>16</v>
      </c>
      <c r="L641">
        <v>12</v>
      </c>
    </row>
    <row r="642" spans="1:12" x14ac:dyDescent="0.2">
      <c r="A642">
        <v>27</v>
      </c>
      <c r="B642">
        <v>1187</v>
      </c>
      <c r="C642">
        <v>120</v>
      </c>
      <c r="D642">
        <v>0.83899999999999997</v>
      </c>
      <c r="E642" s="3">
        <v>0.16400000000000001</v>
      </c>
      <c r="F642">
        <v>0.18</v>
      </c>
      <c r="G642">
        <v>0.96399999999999997</v>
      </c>
      <c r="H642" s="3">
        <v>0.92</v>
      </c>
      <c r="I642" s="3">
        <f t="shared" si="9"/>
        <v>7.999999999999996E-2</v>
      </c>
      <c r="J642">
        <v>94</v>
      </c>
      <c r="K642">
        <v>8</v>
      </c>
      <c r="L642">
        <v>4.3</v>
      </c>
    </row>
    <row r="643" spans="1:12" x14ac:dyDescent="0.2">
      <c r="A643">
        <v>62</v>
      </c>
      <c r="B643">
        <v>2847</v>
      </c>
      <c r="C643">
        <v>22</v>
      </c>
      <c r="D643">
        <v>0.83899999999999997</v>
      </c>
      <c r="E643" s="3">
        <v>0.1</v>
      </c>
      <c r="F643">
        <v>0.22700000000000001</v>
      </c>
      <c r="G643">
        <v>0.77100000000000002</v>
      </c>
      <c r="H643" s="3">
        <v>0.91900000000000004</v>
      </c>
      <c r="I643" s="3">
        <f t="shared" ref="I643:I706" si="10">1-H643</f>
        <v>8.0999999999999961E-2</v>
      </c>
      <c r="J643">
        <v>52</v>
      </c>
      <c r="K643">
        <v>10</v>
      </c>
      <c r="L643">
        <v>4.4000000000000004</v>
      </c>
    </row>
    <row r="644" spans="1:12" x14ac:dyDescent="0.2">
      <c r="A644">
        <v>91</v>
      </c>
      <c r="B644">
        <v>4331</v>
      </c>
      <c r="C644">
        <v>123</v>
      </c>
      <c r="D644">
        <v>0.83899999999999997</v>
      </c>
      <c r="E644" s="3">
        <v>0.157</v>
      </c>
      <c r="F644">
        <v>0.26300000000000001</v>
      </c>
      <c r="G644">
        <v>0.96299999999999997</v>
      </c>
      <c r="H644" s="3">
        <v>0.97799999999999998</v>
      </c>
      <c r="I644" s="3">
        <f t="shared" si="10"/>
        <v>2.200000000000002E-2</v>
      </c>
      <c r="J644">
        <v>74</v>
      </c>
      <c r="K644">
        <v>0</v>
      </c>
      <c r="L644">
        <v>1.6</v>
      </c>
    </row>
    <row r="645" spans="1:12" x14ac:dyDescent="0.2">
      <c r="A645">
        <v>100</v>
      </c>
      <c r="B645">
        <v>4805</v>
      </c>
      <c r="C645">
        <v>74</v>
      </c>
      <c r="D645">
        <v>0.83899999999999997</v>
      </c>
      <c r="E645" s="3">
        <v>0.107</v>
      </c>
      <c r="F645">
        <v>0.12</v>
      </c>
      <c r="G645">
        <v>0.93100000000000005</v>
      </c>
      <c r="H645" s="3">
        <v>0.94299999999999995</v>
      </c>
      <c r="I645" s="3">
        <f t="shared" si="10"/>
        <v>5.7000000000000051E-2</v>
      </c>
      <c r="J645">
        <v>72</v>
      </c>
      <c r="K645">
        <v>6</v>
      </c>
      <c r="L645">
        <v>2.2000000000000002</v>
      </c>
    </row>
    <row r="646" spans="1:12" x14ac:dyDescent="0.2">
      <c r="A646">
        <v>83</v>
      </c>
      <c r="B646">
        <v>3989</v>
      </c>
      <c r="C646">
        <v>105</v>
      </c>
      <c r="D646">
        <v>0.84</v>
      </c>
      <c r="E646" s="3">
        <v>4.5999999999999999E-2</v>
      </c>
      <c r="F646">
        <v>0.29099999999999998</v>
      </c>
      <c r="G646">
        <v>0.73899999999999999</v>
      </c>
      <c r="H646" s="3">
        <v>0.94699999999999995</v>
      </c>
      <c r="I646" s="3">
        <f t="shared" si="10"/>
        <v>5.3000000000000047E-2</v>
      </c>
      <c r="J646">
        <v>35</v>
      </c>
      <c r="K646">
        <v>12</v>
      </c>
      <c r="L646">
        <v>10.8</v>
      </c>
    </row>
    <row r="647" spans="1:12" x14ac:dyDescent="0.2">
      <c r="A647">
        <v>86</v>
      </c>
      <c r="B647">
        <v>4252</v>
      </c>
      <c r="C647">
        <v>177</v>
      </c>
      <c r="D647">
        <v>0.84</v>
      </c>
      <c r="E647" s="3">
        <v>0.17699999999999999</v>
      </c>
      <c r="F647">
        <v>0.27200000000000002</v>
      </c>
      <c r="G647">
        <v>0.80200000000000005</v>
      </c>
      <c r="H647" s="3">
        <v>0.98799999999999999</v>
      </c>
      <c r="I647" s="3">
        <f t="shared" si="10"/>
        <v>1.2000000000000011E-2</v>
      </c>
      <c r="J647">
        <v>15</v>
      </c>
      <c r="K647">
        <v>13</v>
      </c>
      <c r="L647">
        <v>6</v>
      </c>
    </row>
    <row r="648" spans="1:12" x14ac:dyDescent="0.2">
      <c r="A648">
        <v>85</v>
      </c>
      <c r="B648">
        <v>4030</v>
      </c>
      <c r="C648">
        <v>182</v>
      </c>
      <c r="D648">
        <v>0.84099999999999997</v>
      </c>
      <c r="E648" s="3">
        <v>4.9000000000000002E-2</v>
      </c>
      <c r="F648">
        <v>0.223</v>
      </c>
      <c r="G648">
        <v>0.93600000000000005</v>
      </c>
      <c r="H648" s="3">
        <v>0.93700000000000006</v>
      </c>
      <c r="I648" s="3">
        <f t="shared" si="10"/>
        <v>6.2999999999999945E-2</v>
      </c>
      <c r="J648">
        <v>74</v>
      </c>
      <c r="K648">
        <v>3</v>
      </c>
      <c r="L648">
        <v>9</v>
      </c>
    </row>
    <row r="649" spans="1:12" x14ac:dyDescent="0.2">
      <c r="A649">
        <v>90</v>
      </c>
      <c r="B649">
        <v>4285</v>
      </c>
      <c r="C649">
        <v>53</v>
      </c>
      <c r="D649">
        <v>0.84099999999999997</v>
      </c>
      <c r="E649" s="3">
        <v>6.4000000000000001E-2</v>
      </c>
      <c r="F649">
        <v>6.8000000000000005E-2</v>
      </c>
      <c r="G649">
        <v>0.97499999999999998</v>
      </c>
      <c r="H649" s="3">
        <v>0.90700000000000003</v>
      </c>
      <c r="I649" s="3">
        <f t="shared" si="10"/>
        <v>9.2999999999999972E-2</v>
      </c>
      <c r="J649">
        <v>78</v>
      </c>
      <c r="K649">
        <v>13</v>
      </c>
      <c r="L649">
        <v>2</v>
      </c>
    </row>
    <row r="650" spans="1:12" x14ac:dyDescent="0.2">
      <c r="A650">
        <v>78</v>
      </c>
      <c r="B650">
        <v>3857</v>
      </c>
      <c r="C650">
        <v>42</v>
      </c>
      <c r="D650">
        <v>0.84199999999999997</v>
      </c>
      <c r="E650" s="3">
        <v>0.13700000000000001</v>
      </c>
      <c r="F650">
        <v>0.09</v>
      </c>
      <c r="G650">
        <v>0.74399999999999999</v>
      </c>
      <c r="H650" s="3">
        <v>0.97</v>
      </c>
      <c r="I650" s="3">
        <f t="shared" si="10"/>
        <v>3.0000000000000027E-2</v>
      </c>
      <c r="J650">
        <v>33</v>
      </c>
      <c r="K650">
        <v>8</v>
      </c>
      <c r="L650">
        <v>5.5</v>
      </c>
    </row>
    <row r="651" spans="1:12" x14ac:dyDescent="0.2">
      <c r="A651">
        <v>83</v>
      </c>
      <c r="B651">
        <v>4085</v>
      </c>
      <c r="C651">
        <v>196</v>
      </c>
      <c r="D651">
        <v>0.84299999999999997</v>
      </c>
      <c r="E651" s="3">
        <v>0.193</v>
      </c>
      <c r="F651">
        <v>0.112</v>
      </c>
      <c r="G651">
        <v>0.82399999999999995</v>
      </c>
      <c r="H651" s="3">
        <v>0.95899999999999996</v>
      </c>
      <c r="I651" s="3">
        <f t="shared" si="10"/>
        <v>4.1000000000000036E-2</v>
      </c>
      <c r="J651">
        <v>41</v>
      </c>
      <c r="K651">
        <v>17</v>
      </c>
      <c r="L651">
        <v>12.4</v>
      </c>
    </row>
    <row r="652" spans="1:12" x14ac:dyDescent="0.2">
      <c r="A652">
        <v>100</v>
      </c>
      <c r="B652">
        <v>4829</v>
      </c>
      <c r="C652">
        <v>135</v>
      </c>
      <c r="D652">
        <v>0.84299999999999997</v>
      </c>
      <c r="E652" s="3">
        <v>0.153</v>
      </c>
      <c r="F652">
        <v>0.28599999999999998</v>
      </c>
      <c r="G652">
        <v>0.93899999999999995</v>
      </c>
      <c r="H652" s="3">
        <v>0.94399999999999995</v>
      </c>
      <c r="I652" s="3">
        <f t="shared" si="10"/>
        <v>5.600000000000005E-2</v>
      </c>
      <c r="J652">
        <v>28</v>
      </c>
      <c r="K652">
        <v>0</v>
      </c>
      <c r="L652">
        <v>12.7</v>
      </c>
    </row>
    <row r="653" spans="1:12" x14ac:dyDescent="0.2">
      <c r="A653">
        <v>46</v>
      </c>
      <c r="B653">
        <v>2196</v>
      </c>
      <c r="C653">
        <v>57</v>
      </c>
      <c r="D653">
        <v>0.84399999999999997</v>
      </c>
      <c r="E653" s="3">
        <v>0.16900000000000001</v>
      </c>
      <c r="F653">
        <v>0.14399999999999999</v>
      </c>
      <c r="G653">
        <v>0.82599999999999996</v>
      </c>
      <c r="H653" s="3">
        <v>0.92100000000000004</v>
      </c>
      <c r="I653" s="3">
        <f t="shared" si="10"/>
        <v>7.8999999999999959E-2</v>
      </c>
      <c r="J653">
        <v>8</v>
      </c>
      <c r="K653">
        <v>9</v>
      </c>
      <c r="L653">
        <v>13.5</v>
      </c>
    </row>
    <row r="654" spans="1:12" x14ac:dyDescent="0.2">
      <c r="A654">
        <v>61</v>
      </c>
      <c r="B654">
        <v>2834</v>
      </c>
      <c r="C654">
        <v>57</v>
      </c>
      <c r="D654">
        <v>0.84399999999999997</v>
      </c>
      <c r="E654" s="3">
        <v>0.19600000000000001</v>
      </c>
      <c r="F654">
        <v>0.16500000000000001</v>
      </c>
      <c r="G654">
        <v>0.97399999999999998</v>
      </c>
      <c r="H654" s="3">
        <v>0.95299999999999996</v>
      </c>
      <c r="I654" s="3">
        <f t="shared" si="10"/>
        <v>4.7000000000000042E-2</v>
      </c>
      <c r="J654">
        <v>65</v>
      </c>
      <c r="K654">
        <v>13</v>
      </c>
      <c r="L654">
        <v>14.2</v>
      </c>
    </row>
    <row r="655" spans="1:12" x14ac:dyDescent="0.2">
      <c r="A655">
        <v>96</v>
      </c>
      <c r="B655">
        <v>4576</v>
      </c>
      <c r="C655">
        <v>58</v>
      </c>
      <c r="D655">
        <v>0.84399999999999997</v>
      </c>
      <c r="E655" s="3">
        <v>0.14399999999999999</v>
      </c>
      <c r="F655">
        <v>0.25</v>
      </c>
      <c r="G655">
        <v>0.73299999999999998</v>
      </c>
      <c r="H655" s="3">
        <v>0.96799999999999997</v>
      </c>
      <c r="I655" s="3">
        <f t="shared" si="10"/>
        <v>3.2000000000000028E-2</v>
      </c>
      <c r="J655">
        <v>62</v>
      </c>
      <c r="K655">
        <v>9</v>
      </c>
      <c r="L655">
        <v>12.9</v>
      </c>
    </row>
    <row r="656" spans="1:12" x14ac:dyDescent="0.2">
      <c r="A656">
        <v>78</v>
      </c>
      <c r="B656">
        <v>3685</v>
      </c>
      <c r="C656">
        <v>10</v>
      </c>
      <c r="D656">
        <v>0.84499999999999997</v>
      </c>
      <c r="E656" s="3">
        <v>0.107</v>
      </c>
      <c r="F656">
        <v>7.2999999999999995E-2</v>
      </c>
      <c r="G656">
        <v>0.90300000000000002</v>
      </c>
      <c r="H656" s="3">
        <v>0.97399999999999998</v>
      </c>
      <c r="I656" s="3">
        <f t="shared" si="10"/>
        <v>2.6000000000000023E-2</v>
      </c>
      <c r="J656">
        <v>62</v>
      </c>
      <c r="K656">
        <v>7</v>
      </c>
      <c r="L656">
        <v>4.8</v>
      </c>
    </row>
    <row r="657" spans="1:12" x14ac:dyDescent="0.2">
      <c r="A657">
        <v>36</v>
      </c>
      <c r="B657">
        <v>1619</v>
      </c>
      <c r="C657">
        <v>136</v>
      </c>
      <c r="D657">
        <v>0.84599999999999997</v>
      </c>
      <c r="E657" s="3">
        <v>0.14199999999999999</v>
      </c>
      <c r="F657">
        <v>0.22700000000000001</v>
      </c>
      <c r="G657">
        <v>0.97299999999999998</v>
      </c>
      <c r="H657" s="3">
        <v>0.96399999999999997</v>
      </c>
      <c r="I657" s="3">
        <f t="shared" si="10"/>
        <v>3.6000000000000032E-2</v>
      </c>
      <c r="J657">
        <v>23</v>
      </c>
      <c r="K657">
        <v>13</v>
      </c>
      <c r="L657">
        <v>5.8</v>
      </c>
    </row>
    <row r="658" spans="1:12" x14ac:dyDescent="0.2">
      <c r="A658">
        <v>44</v>
      </c>
      <c r="B658">
        <v>2088</v>
      </c>
      <c r="C658">
        <v>112</v>
      </c>
      <c r="D658">
        <v>0.84599999999999997</v>
      </c>
      <c r="E658" s="3">
        <v>9.5000000000000001E-2</v>
      </c>
      <c r="F658">
        <v>0.13800000000000001</v>
      </c>
      <c r="G658">
        <v>0.70299999999999996</v>
      </c>
      <c r="H658" s="3">
        <v>0.98099999999999998</v>
      </c>
      <c r="I658" s="3">
        <f t="shared" si="10"/>
        <v>1.9000000000000017E-2</v>
      </c>
      <c r="J658">
        <v>44</v>
      </c>
      <c r="K658">
        <v>2</v>
      </c>
      <c r="L658">
        <v>14.3</v>
      </c>
    </row>
    <row r="659" spans="1:12" x14ac:dyDescent="0.2">
      <c r="A659">
        <v>76</v>
      </c>
      <c r="B659">
        <v>3555</v>
      </c>
      <c r="C659">
        <v>185</v>
      </c>
      <c r="D659">
        <v>0.84599999999999997</v>
      </c>
      <c r="E659" s="3">
        <v>1.4999999999999999E-2</v>
      </c>
      <c r="F659">
        <v>0.25</v>
      </c>
      <c r="G659">
        <v>0.74299999999999999</v>
      </c>
      <c r="H659" s="3">
        <v>0.93100000000000005</v>
      </c>
      <c r="I659" s="3">
        <f t="shared" si="10"/>
        <v>6.899999999999995E-2</v>
      </c>
      <c r="J659">
        <v>5</v>
      </c>
      <c r="K659">
        <v>15</v>
      </c>
      <c r="L659">
        <v>3.3</v>
      </c>
    </row>
    <row r="660" spans="1:12" x14ac:dyDescent="0.2">
      <c r="A660">
        <v>73</v>
      </c>
      <c r="B660">
        <v>3567</v>
      </c>
      <c r="C660">
        <v>29</v>
      </c>
      <c r="D660">
        <v>0.84599999999999997</v>
      </c>
      <c r="E660" s="3">
        <v>8.4000000000000005E-2</v>
      </c>
      <c r="F660">
        <v>0.14199999999999999</v>
      </c>
      <c r="G660">
        <v>0.78600000000000003</v>
      </c>
      <c r="H660" s="3">
        <v>0.93300000000000005</v>
      </c>
      <c r="I660" s="3">
        <f t="shared" si="10"/>
        <v>6.6999999999999948E-2</v>
      </c>
      <c r="J660">
        <v>48</v>
      </c>
      <c r="K660">
        <v>17</v>
      </c>
      <c r="L660">
        <v>10.1</v>
      </c>
    </row>
    <row r="661" spans="1:12" x14ac:dyDescent="0.2">
      <c r="A661">
        <v>65</v>
      </c>
      <c r="B661">
        <v>3064</v>
      </c>
      <c r="C661">
        <v>140</v>
      </c>
      <c r="D661">
        <v>0.84699999999999998</v>
      </c>
      <c r="E661" s="3">
        <v>1.2999999999999999E-2</v>
      </c>
      <c r="F661">
        <v>6.9000000000000006E-2</v>
      </c>
      <c r="G661">
        <v>0.747</v>
      </c>
      <c r="H661" s="3">
        <v>0.93700000000000006</v>
      </c>
      <c r="I661" s="3">
        <f t="shared" si="10"/>
        <v>6.2999999999999945E-2</v>
      </c>
      <c r="J661">
        <v>46</v>
      </c>
      <c r="K661">
        <v>12</v>
      </c>
      <c r="L661">
        <v>12.5</v>
      </c>
    </row>
    <row r="662" spans="1:12" x14ac:dyDescent="0.2">
      <c r="A662">
        <v>97</v>
      </c>
      <c r="B662">
        <v>4718</v>
      </c>
      <c r="C662">
        <v>133</v>
      </c>
      <c r="D662">
        <v>0.84699999999999998</v>
      </c>
      <c r="E662" s="3">
        <v>0.189</v>
      </c>
      <c r="F662">
        <v>0.251</v>
      </c>
      <c r="G662">
        <v>0.96699999999999997</v>
      </c>
      <c r="H662" s="3">
        <v>0.91500000000000004</v>
      </c>
      <c r="I662" s="3">
        <f t="shared" si="10"/>
        <v>8.4999999999999964E-2</v>
      </c>
      <c r="J662">
        <v>86</v>
      </c>
      <c r="K662">
        <v>8</v>
      </c>
      <c r="L662">
        <v>11.4</v>
      </c>
    </row>
    <row r="663" spans="1:12" x14ac:dyDescent="0.2">
      <c r="A663">
        <v>64</v>
      </c>
      <c r="B663">
        <v>2950</v>
      </c>
      <c r="C663">
        <v>52</v>
      </c>
      <c r="D663">
        <v>0.84799999999999998</v>
      </c>
      <c r="E663" s="3">
        <v>0.14000000000000001</v>
      </c>
      <c r="F663">
        <v>0.27900000000000003</v>
      </c>
      <c r="G663">
        <v>0.80400000000000005</v>
      </c>
      <c r="H663" s="3">
        <v>0.93899999999999995</v>
      </c>
      <c r="I663" s="3">
        <f t="shared" si="10"/>
        <v>6.1000000000000054E-2</v>
      </c>
      <c r="J663">
        <v>90</v>
      </c>
      <c r="K663">
        <v>12</v>
      </c>
      <c r="L663">
        <v>10.7</v>
      </c>
    </row>
    <row r="664" spans="1:12" x14ac:dyDescent="0.2">
      <c r="A664">
        <v>48</v>
      </c>
      <c r="B664">
        <v>2241</v>
      </c>
      <c r="C664">
        <v>99</v>
      </c>
      <c r="D664">
        <v>0.84899999999999998</v>
      </c>
      <c r="E664" s="3">
        <v>8.5000000000000006E-2</v>
      </c>
      <c r="F664">
        <v>0.24299999999999999</v>
      </c>
      <c r="G664">
        <v>0.74299999999999999</v>
      </c>
      <c r="H664" s="3">
        <v>0.93799999999999994</v>
      </c>
      <c r="I664" s="3">
        <f t="shared" si="10"/>
        <v>6.2000000000000055E-2</v>
      </c>
      <c r="J664">
        <v>63</v>
      </c>
      <c r="K664">
        <v>2</v>
      </c>
      <c r="L664">
        <v>7.6</v>
      </c>
    </row>
    <row r="665" spans="1:12" x14ac:dyDescent="0.2">
      <c r="A665">
        <v>88</v>
      </c>
      <c r="B665">
        <v>4336</v>
      </c>
      <c r="C665">
        <v>52</v>
      </c>
      <c r="D665">
        <v>0.85</v>
      </c>
      <c r="E665" s="3">
        <v>0.02</v>
      </c>
      <c r="F665">
        <v>0.14899999999999999</v>
      </c>
      <c r="G665">
        <v>0.93899999999999995</v>
      </c>
      <c r="H665" s="3">
        <v>0.94499999999999995</v>
      </c>
      <c r="I665" s="3">
        <f t="shared" si="10"/>
        <v>5.5000000000000049E-2</v>
      </c>
      <c r="J665">
        <v>94</v>
      </c>
      <c r="K665">
        <v>12</v>
      </c>
      <c r="L665">
        <v>9.5</v>
      </c>
    </row>
    <row r="666" spans="1:12" x14ac:dyDescent="0.2">
      <c r="A666">
        <v>99</v>
      </c>
      <c r="B666">
        <v>4871</v>
      </c>
      <c r="C666">
        <v>68</v>
      </c>
      <c r="D666">
        <v>0.85</v>
      </c>
      <c r="E666" s="3">
        <v>0.17799999999999999</v>
      </c>
      <c r="F666">
        <v>0.29599999999999999</v>
      </c>
      <c r="G666">
        <v>0.73199999999999998</v>
      </c>
      <c r="H666" s="3">
        <v>0.91200000000000003</v>
      </c>
      <c r="I666" s="3">
        <f t="shared" si="10"/>
        <v>8.7999999999999967E-2</v>
      </c>
      <c r="J666">
        <v>61</v>
      </c>
      <c r="K666">
        <v>3</v>
      </c>
      <c r="L666">
        <v>3.5</v>
      </c>
    </row>
    <row r="667" spans="1:12" x14ac:dyDescent="0.2">
      <c r="A667">
        <v>102</v>
      </c>
      <c r="B667">
        <v>4899</v>
      </c>
      <c r="C667">
        <v>48</v>
      </c>
      <c r="D667">
        <v>0.85</v>
      </c>
      <c r="E667" s="3">
        <v>4.7E-2</v>
      </c>
      <c r="F667">
        <v>0.16400000000000001</v>
      </c>
      <c r="G667">
        <v>0.84599999999999997</v>
      </c>
      <c r="H667" s="3">
        <v>0.96699999999999997</v>
      </c>
      <c r="I667" s="3">
        <f t="shared" si="10"/>
        <v>3.3000000000000029E-2</v>
      </c>
      <c r="J667">
        <v>71</v>
      </c>
      <c r="K667">
        <v>15</v>
      </c>
      <c r="L667">
        <v>8.1</v>
      </c>
    </row>
    <row r="668" spans="1:12" x14ac:dyDescent="0.2">
      <c r="A668">
        <v>75</v>
      </c>
      <c r="B668">
        <v>3493</v>
      </c>
      <c r="C668">
        <v>123</v>
      </c>
      <c r="D668">
        <v>0.85099999999999998</v>
      </c>
      <c r="E668" s="3">
        <v>6.8000000000000005E-2</v>
      </c>
      <c r="F668">
        <v>0.17699999999999999</v>
      </c>
      <c r="G668">
        <v>0.85</v>
      </c>
      <c r="H668" s="3">
        <v>0.94299999999999995</v>
      </c>
      <c r="I668" s="3">
        <f t="shared" si="10"/>
        <v>5.7000000000000051E-2</v>
      </c>
      <c r="J668">
        <v>47</v>
      </c>
      <c r="K668">
        <v>14</v>
      </c>
      <c r="L668">
        <v>3.8</v>
      </c>
    </row>
    <row r="669" spans="1:12" x14ac:dyDescent="0.2">
      <c r="A669">
        <v>100</v>
      </c>
      <c r="B669">
        <v>4737</v>
      </c>
      <c r="C669">
        <v>31</v>
      </c>
      <c r="D669">
        <v>0.85099999999999998</v>
      </c>
      <c r="E669" s="3">
        <v>0.13300000000000001</v>
      </c>
      <c r="F669">
        <v>0.16900000000000001</v>
      </c>
      <c r="G669">
        <v>0.77900000000000003</v>
      </c>
      <c r="H669" s="3">
        <v>0.998</v>
      </c>
      <c r="I669" s="3">
        <f t="shared" si="10"/>
        <v>2.0000000000000018E-3</v>
      </c>
      <c r="J669">
        <v>31</v>
      </c>
      <c r="K669">
        <v>11</v>
      </c>
      <c r="L669">
        <v>3</v>
      </c>
    </row>
    <row r="670" spans="1:12" x14ac:dyDescent="0.2">
      <c r="A670">
        <v>59</v>
      </c>
      <c r="B670">
        <v>2849</v>
      </c>
      <c r="C670">
        <v>80</v>
      </c>
      <c r="D670">
        <v>0.85199999999999998</v>
      </c>
      <c r="E670" s="3">
        <v>9.2999999999999999E-2</v>
      </c>
      <c r="F670">
        <v>0.192</v>
      </c>
      <c r="G670">
        <v>0.90500000000000003</v>
      </c>
      <c r="H670" s="3">
        <v>0.90600000000000003</v>
      </c>
      <c r="I670" s="3">
        <f t="shared" si="10"/>
        <v>9.3999999999999972E-2</v>
      </c>
      <c r="J670">
        <v>41</v>
      </c>
      <c r="K670">
        <v>7</v>
      </c>
      <c r="L670">
        <v>8.9</v>
      </c>
    </row>
    <row r="671" spans="1:12" x14ac:dyDescent="0.2">
      <c r="A671">
        <v>69</v>
      </c>
      <c r="B671">
        <v>3218</v>
      </c>
      <c r="C671">
        <v>191</v>
      </c>
      <c r="D671">
        <v>0.85199999999999998</v>
      </c>
      <c r="E671" s="3">
        <v>0.17499999999999999</v>
      </c>
      <c r="F671">
        <v>0.23799999999999999</v>
      </c>
      <c r="G671">
        <v>0.93500000000000005</v>
      </c>
      <c r="H671" s="3">
        <v>0.995</v>
      </c>
      <c r="I671" s="3">
        <f t="shared" si="10"/>
        <v>5.0000000000000044E-3</v>
      </c>
      <c r="J671">
        <v>65</v>
      </c>
      <c r="K671">
        <v>12</v>
      </c>
      <c r="L671">
        <v>10.1</v>
      </c>
    </row>
    <row r="672" spans="1:12" x14ac:dyDescent="0.2">
      <c r="A672">
        <v>38</v>
      </c>
      <c r="B672">
        <v>1680</v>
      </c>
      <c r="C672">
        <v>74</v>
      </c>
      <c r="D672">
        <v>0.85299999999999998</v>
      </c>
      <c r="E672" s="3">
        <v>1.9E-2</v>
      </c>
      <c r="F672">
        <v>0.17599999999999999</v>
      </c>
      <c r="G672">
        <v>0.77300000000000002</v>
      </c>
      <c r="H672" s="3">
        <v>0.93700000000000006</v>
      </c>
      <c r="I672" s="3">
        <f t="shared" si="10"/>
        <v>6.2999999999999945E-2</v>
      </c>
      <c r="J672">
        <v>76</v>
      </c>
      <c r="K672">
        <v>17</v>
      </c>
      <c r="L672">
        <v>7.7</v>
      </c>
    </row>
    <row r="673" spans="1:12" x14ac:dyDescent="0.2">
      <c r="A673">
        <v>58</v>
      </c>
      <c r="B673">
        <v>2776</v>
      </c>
      <c r="C673">
        <v>110</v>
      </c>
      <c r="D673">
        <v>0.85299999999999998</v>
      </c>
      <c r="E673" s="3">
        <v>4.7E-2</v>
      </c>
      <c r="F673">
        <v>0.13800000000000001</v>
      </c>
      <c r="G673">
        <v>0.79300000000000004</v>
      </c>
      <c r="H673" s="3">
        <v>0.93400000000000005</v>
      </c>
      <c r="I673" s="3">
        <f t="shared" si="10"/>
        <v>6.5999999999999948E-2</v>
      </c>
      <c r="J673">
        <v>71</v>
      </c>
      <c r="K673">
        <v>1</v>
      </c>
      <c r="L673">
        <v>5</v>
      </c>
    </row>
    <row r="674" spans="1:12" x14ac:dyDescent="0.2">
      <c r="A674">
        <v>68</v>
      </c>
      <c r="B674">
        <v>3277</v>
      </c>
      <c r="C674">
        <v>15</v>
      </c>
      <c r="D674">
        <v>0.85299999999999998</v>
      </c>
      <c r="E674" s="3">
        <v>0.17699999999999999</v>
      </c>
      <c r="F674">
        <v>9.1999999999999998E-2</v>
      </c>
      <c r="G674">
        <v>0.90900000000000003</v>
      </c>
      <c r="H674" s="3">
        <v>0.90200000000000002</v>
      </c>
      <c r="I674" s="3">
        <f t="shared" si="10"/>
        <v>9.7999999999999976E-2</v>
      </c>
      <c r="J674">
        <v>84</v>
      </c>
      <c r="K674">
        <v>19</v>
      </c>
      <c r="L674">
        <v>9.8000000000000007</v>
      </c>
    </row>
    <row r="675" spans="1:12" x14ac:dyDescent="0.2">
      <c r="A675">
        <v>73</v>
      </c>
      <c r="B675">
        <v>3536</v>
      </c>
      <c r="C675">
        <v>32</v>
      </c>
      <c r="D675">
        <v>0.85299999999999998</v>
      </c>
      <c r="E675" s="3">
        <v>6.5000000000000002E-2</v>
      </c>
      <c r="F675">
        <v>0.29499999999999998</v>
      </c>
      <c r="G675">
        <v>0.75600000000000001</v>
      </c>
      <c r="H675" s="3">
        <v>0.96499999999999997</v>
      </c>
      <c r="I675" s="3">
        <f t="shared" si="10"/>
        <v>3.5000000000000031E-2</v>
      </c>
      <c r="J675">
        <v>68</v>
      </c>
      <c r="K675">
        <v>7</v>
      </c>
      <c r="L675">
        <v>14.2</v>
      </c>
    </row>
    <row r="676" spans="1:12" x14ac:dyDescent="0.2">
      <c r="A676">
        <v>39</v>
      </c>
      <c r="B676">
        <v>1839</v>
      </c>
      <c r="C676">
        <v>33</v>
      </c>
      <c r="D676">
        <v>0.85599999999999998</v>
      </c>
      <c r="E676" s="3">
        <v>5.6000000000000001E-2</v>
      </c>
      <c r="F676">
        <v>0.25600000000000001</v>
      </c>
      <c r="G676">
        <v>0.98699999999999999</v>
      </c>
      <c r="H676" s="3">
        <v>0.98899999999999999</v>
      </c>
      <c r="I676" s="3">
        <f t="shared" si="10"/>
        <v>1.100000000000001E-2</v>
      </c>
      <c r="J676">
        <v>79</v>
      </c>
      <c r="K676">
        <v>12</v>
      </c>
      <c r="L676">
        <v>1.3</v>
      </c>
    </row>
    <row r="677" spans="1:12" x14ac:dyDescent="0.2">
      <c r="A677">
        <v>79</v>
      </c>
      <c r="B677">
        <v>3750</v>
      </c>
      <c r="C677">
        <v>169</v>
      </c>
      <c r="D677">
        <v>0.85599999999999998</v>
      </c>
      <c r="E677" s="3">
        <v>8.5000000000000006E-2</v>
      </c>
      <c r="F677">
        <v>0.109</v>
      </c>
      <c r="G677">
        <v>0.75600000000000001</v>
      </c>
      <c r="H677" s="3">
        <v>0.96099999999999997</v>
      </c>
      <c r="I677" s="3">
        <f t="shared" si="10"/>
        <v>3.9000000000000035E-2</v>
      </c>
      <c r="J677">
        <v>44</v>
      </c>
      <c r="K677">
        <v>19</v>
      </c>
      <c r="L677">
        <v>1.1000000000000001</v>
      </c>
    </row>
    <row r="678" spans="1:12" x14ac:dyDescent="0.2">
      <c r="A678">
        <v>47</v>
      </c>
      <c r="B678">
        <v>2146</v>
      </c>
      <c r="C678">
        <v>163</v>
      </c>
      <c r="D678">
        <v>0.85699999999999998</v>
      </c>
      <c r="E678" s="3">
        <v>0.123</v>
      </c>
      <c r="F678">
        <v>0.253</v>
      </c>
      <c r="G678">
        <v>0.86799999999999999</v>
      </c>
      <c r="H678" s="3">
        <v>0.93500000000000005</v>
      </c>
      <c r="I678" s="3">
        <f t="shared" si="10"/>
        <v>6.4999999999999947E-2</v>
      </c>
      <c r="J678">
        <v>21</v>
      </c>
      <c r="K678">
        <v>4</v>
      </c>
      <c r="L678">
        <v>10.9</v>
      </c>
    </row>
    <row r="679" spans="1:12" x14ac:dyDescent="0.2">
      <c r="A679">
        <v>57</v>
      </c>
      <c r="B679">
        <v>2589</v>
      </c>
      <c r="C679">
        <v>191</v>
      </c>
      <c r="D679">
        <v>0.85699999999999998</v>
      </c>
      <c r="E679" s="3">
        <v>5.2999999999999999E-2</v>
      </c>
      <c r="F679">
        <v>0.218</v>
      </c>
      <c r="G679">
        <v>0.88800000000000001</v>
      </c>
      <c r="H679" s="3">
        <v>0.98499999999999999</v>
      </c>
      <c r="I679" s="3">
        <f t="shared" si="10"/>
        <v>1.5000000000000013E-2</v>
      </c>
      <c r="J679">
        <v>72</v>
      </c>
      <c r="K679">
        <v>4</v>
      </c>
      <c r="L679">
        <v>7.5</v>
      </c>
    </row>
    <row r="680" spans="1:12" x14ac:dyDescent="0.2">
      <c r="A680">
        <v>60</v>
      </c>
      <c r="B680">
        <v>2749</v>
      </c>
      <c r="C680">
        <v>75</v>
      </c>
      <c r="D680">
        <v>0.85699999999999998</v>
      </c>
      <c r="E680" s="3">
        <v>7.0999999999999994E-2</v>
      </c>
      <c r="F680">
        <v>0.249</v>
      </c>
      <c r="G680">
        <v>0.78300000000000003</v>
      </c>
      <c r="H680" s="3">
        <v>0.9</v>
      </c>
      <c r="I680" s="3">
        <f t="shared" si="10"/>
        <v>9.9999999999999978E-2</v>
      </c>
      <c r="J680">
        <v>81</v>
      </c>
      <c r="K680">
        <v>3</v>
      </c>
      <c r="L680">
        <v>4</v>
      </c>
    </row>
    <row r="681" spans="1:12" x14ac:dyDescent="0.2">
      <c r="A681">
        <v>69</v>
      </c>
      <c r="B681">
        <v>3384</v>
      </c>
      <c r="C681">
        <v>98</v>
      </c>
      <c r="D681">
        <v>0.85699999999999998</v>
      </c>
      <c r="E681" s="3">
        <v>7.3999999999999996E-2</v>
      </c>
      <c r="F681">
        <v>5.7000000000000002E-2</v>
      </c>
      <c r="G681">
        <v>0.82499999999999996</v>
      </c>
      <c r="H681" s="3">
        <v>0.93300000000000005</v>
      </c>
      <c r="I681" s="3">
        <f t="shared" si="10"/>
        <v>6.6999999999999948E-2</v>
      </c>
      <c r="J681">
        <v>37</v>
      </c>
      <c r="K681">
        <v>6</v>
      </c>
      <c r="L681">
        <v>10.5</v>
      </c>
    </row>
    <row r="682" spans="1:12" x14ac:dyDescent="0.2">
      <c r="A682">
        <v>74</v>
      </c>
      <c r="B682">
        <v>3606</v>
      </c>
      <c r="C682">
        <v>190</v>
      </c>
      <c r="D682">
        <v>0.85699999999999998</v>
      </c>
      <c r="E682" s="3">
        <v>0.19500000000000001</v>
      </c>
      <c r="F682">
        <v>0.26100000000000001</v>
      </c>
      <c r="G682">
        <v>0.93400000000000005</v>
      </c>
      <c r="H682" s="3">
        <v>0.98099999999999998</v>
      </c>
      <c r="I682" s="3">
        <f t="shared" si="10"/>
        <v>1.9000000000000017E-2</v>
      </c>
      <c r="J682">
        <v>57</v>
      </c>
      <c r="K682">
        <v>6</v>
      </c>
      <c r="L682">
        <v>8.8000000000000007</v>
      </c>
    </row>
    <row r="683" spans="1:12" x14ac:dyDescent="0.2">
      <c r="A683">
        <v>102</v>
      </c>
      <c r="B683">
        <v>4904</v>
      </c>
      <c r="C683">
        <v>158</v>
      </c>
      <c r="D683">
        <v>0.85699999999999998</v>
      </c>
      <c r="E683" s="3">
        <v>0.10100000000000001</v>
      </c>
      <c r="F683">
        <v>0.187</v>
      </c>
      <c r="G683">
        <v>0.86</v>
      </c>
      <c r="H683" s="3">
        <v>0.98499999999999999</v>
      </c>
      <c r="I683" s="3">
        <f t="shared" si="10"/>
        <v>1.5000000000000013E-2</v>
      </c>
      <c r="J683">
        <v>19</v>
      </c>
      <c r="K683">
        <v>11</v>
      </c>
      <c r="L683">
        <v>7.2</v>
      </c>
    </row>
    <row r="684" spans="1:12" x14ac:dyDescent="0.2">
      <c r="A684">
        <v>102</v>
      </c>
      <c r="B684">
        <v>4923</v>
      </c>
      <c r="C684">
        <v>143</v>
      </c>
      <c r="D684">
        <v>0.85699999999999998</v>
      </c>
      <c r="E684" s="3">
        <v>0.14799999999999999</v>
      </c>
      <c r="F684">
        <v>8.2000000000000003E-2</v>
      </c>
      <c r="G684">
        <v>0.85599999999999998</v>
      </c>
      <c r="H684" s="3">
        <v>0.93400000000000005</v>
      </c>
      <c r="I684" s="3">
        <f t="shared" si="10"/>
        <v>6.5999999999999948E-2</v>
      </c>
      <c r="J684">
        <v>95</v>
      </c>
      <c r="K684">
        <v>8</v>
      </c>
      <c r="L684">
        <v>1.7</v>
      </c>
    </row>
    <row r="685" spans="1:12" x14ac:dyDescent="0.2">
      <c r="A685">
        <v>31</v>
      </c>
      <c r="B685">
        <v>1362</v>
      </c>
      <c r="C685">
        <v>68</v>
      </c>
      <c r="D685">
        <v>0.85799999999999998</v>
      </c>
      <c r="E685" s="3">
        <v>6.0999999999999999E-2</v>
      </c>
      <c r="F685">
        <v>0.22900000000000001</v>
      </c>
      <c r="G685">
        <v>0.86899999999999999</v>
      </c>
      <c r="H685" s="3">
        <v>0.92800000000000005</v>
      </c>
      <c r="I685" s="3">
        <f t="shared" si="10"/>
        <v>7.1999999999999953E-2</v>
      </c>
      <c r="J685">
        <v>75</v>
      </c>
      <c r="K685">
        <v>2</v>
      </c>
      <c r="L685">
        <v>9.6999999999999993</v>
      </c>
    </row>
    <row r="686" spans="1:12" x14ac:dyDescent="0.2">
      <c r="A686">
        <v>51</v>
      </c>
      <c r="B686">
        <v>2494</v>
      </c>
      <c r="C686">
        <v>101</v>
      </c>
      <c r="D686">
        <v>0.85799999999999998</v>
      </c>
      <c r="E686" s="3">
        <v>0.128</v>
      </c>
      <c r="F686">
        <v>0.13500000000000001</v>
      </c>
      <c r="G686">
        <v>0.74</v>
      </c>
      <c r="H686" s="3">
        <v>0.96199999999999997</v>
      </c>
      <c r="I686" s="3">
        <f t="shared" si="10"/>
        <v>3.8000000000000034E-2</v>
      </c>
      <c r="J686">
        <v>44</v>
      </c>
      <c r="K686">
        <v>6</v>
      </c>
      <c r="L686">
        <v>10</v>
      </c>
    </row>
    <row r="687" spans="1:12" x14ac:dyDescent="0.2">
      <c r="A687">
        <v>64</v>
      </c>
      <c r="B687">
        <v>3014</v>
      </c>
      <c r="C687">
        <v>63</v>
      </c>
      <c r="D687">
        <v>0.85799999999999998</v>
      </c>
      <c r="E687" s="3">
        <v>0.129</v>
      </c>
      <c r="F687">
        <v>0.152</v>
      </c>
      <c r="G687">
        <v>0.70599999999999996</v>
      </c>
      <c r="H687" s="3">
        <v>0.94899999999999995</v>
      </c>
      <c r="I687" s="3">
        <f t="shared" si="10"/>
        <v>5.1000000000000045E-2</v>
      </c>
      <c r="J687">
        <v>36</v>
      </c>
      <c r="K687">
        <v>9</v>
      </c>
      <c r="L687">
        <v>13.8</v>
      </c>
    </row>
    <row r="688" spans="1:12" x14ac:dyDescent="0.2">
      <c r="A688">
        <v>74</v>
      </c>
      <c r="B688">
        <v>3661</v>
      </c>
      <c r="C688">
        <v>24</v>
      </c>
      <c r="D688">
        <v>0.85799999999999998</v>
      </c>
      <c r="E688" s="3">
        <v>2.9000000000000001E-2</v>
      </c>
      <c r="F688">
        <v>0.185</v>
      </c>
      <c r="G688">
        <v>0.89500000000000002</v>
      </c>
      <c r="H688" s="3">
        <v>0.996</v>
      </c>
      <c r="I688" s="3">
        <f t="shared" si="10"/>
        <v>4.0000000000000036E-3</v>
      </c>
      <c r="J688">
        <v>99</v>
      </c>
      <c r="K688">
        <v>18</v>
      </c>
      <c r="L688">
        <v>2.8</v>
      </c>
    </row>
    <row r="689" spans="1:12" x14ac:dyDescent="0.2">
      <c r="A689">
        <v>85</v>
      </c>
      <c r="B689">
        <v>4070</v>
      </c>
      <c r="C689">
        <v>56</v>
      </c>
      <c r="D689">
        <v>0.85799999999999998</v>
      </c>
      <c r="E689" s="3">
        <v>0.107</v>
      </c>
      <c r="F689">
        <v>0.20699999999999999</v>
      </c>
      <c r="G689">
        <v>0.97399999999999998</v>
      </c>
      <c r="H689" s="3">
        <v>0.99099999999999999</v>
      </c>
      <c r="I689" s="3">
        <f t="shared" si="10"/>
        <v>9.000000000000008E-3</v>
      </c>
      <c r="J689">
        <v>11</v>
      </c>
      <c r="K689">
        <v>11</v>
      </c>
      <c r="L689">
        <v>6.4</v>
      </c>
    </row>
    <row r="690" spans="1:12" x14ac:dyDescent="0.2">
      <c r="A690">
        <v>36</v>
      </c>
      <c r="B690">
        <v>1540</v>
      </c>
      <c r="C690">
        <v>66</v>
      </c>
      <c r="D690">
        <v>0.85899999999999999</v>
      </c>
      <c r="E690" s="3">
        <v>0.14000000000000001</v>
      </c>
      <c r="F690">
        <v>0.20899999999999999</v>
      </c>
      <c r="G690">
        <v>0.89400000000000002</v>
      </c>
      <c r="H690" s="3">
        <v>0.95299999999999996</v>
      </c>
      <c r="I690" s="3">
        <f t="shared" si="10"/>
        <v>4.7000000000000042E-2</v>
      </c>
      <c r="J690">
        <v>55</v>
      </c>
      <c r="K690">
        <v>6</v>
      </c>
      <c r="L690">
        <v>8.4</v>
      </c>
    </row>
    <row r="691" spans="1:12" x14ac:dyDescent="0.2">
      <c r="A691">
        <v>54</v>
      </c>
      <c r="B691">
        <v>2673</v>
      </c>
      <c r="C691">
        <v>98</v>
      </c>
      <c r="D691">
        <v>0.85899999999999999</v>
      </c>
      <c r="E691" s="3">
        <v>3.1E-2</v>
      </c>
      <c r="F691">
        <v>0.14199999999999999</v>
      </c>
      <c r="G691">
        <v>0.755</v>
      </c>
      <c r="H691" s="3">
        <v>0.90700000000000003</v>
      </c>
      <c r="I691" s="3">
        <f t="shared" si="10"/>
        <v>9.2999999999999972E-2</v>
      </c>
      <c r="J691">
        <v>75</v>
      </c>
      <c r="K691">
        <v>18</v>
      </c>
      <c r="L691">
        <v>9.3000000000000007</v>
      </c>
    </row>
    <row r="692" spans="1:12" x14ac:dyDescent="0.2">
      <c r="A692">
        <v>61</v>
      </c>
      <c r="B692">
        <v>2946</v>
      </c>
      <c r="C692">
        <v>137</v>
      </c>
      <c r="D692">
        <v>0.85899999999999999</v>
      </c>
      <c r="E692" s="3">
        <v>4.5999999999999999E-2</v>
      </c>
      <c r="F692">
        <v>0.219</v>
      </c>
      <c r="G692">
        <v>0.89700000000000002</v>
      </c>
      <c r="H692" s="3">
        <v>0.91700000000000004</v>
      </c>
      <c r="I692" s="3">
        <f t="shared" si="10"/>
        <v>8.2999999999999963E-2</v>
      </c>
      <c r="J692">
        <v>86</v>
      </c>
      <c r="K692">
        <v>1</v>
      </c>
      <c r="L692">
        <v>1.3</v>
      </c>
    </row>
    <row r="693" spans="1:12" x14ac:dyDescent="0.2">
      <c r="A693">
        <v>70</v>
      </c>
      <c r="B693">
        <v>3274</v>
      </c>
      <c r="C693">
        <v>34</v>
      </c>
      <c r="D693">
        <v>0.85899999999999999</v>
      </c>
      <c r="E693" s="3">
        <v>0.03</v>
      </c>
      <c r="F693">
        <v>9.5000000000000001E-2</v>
      </c>
      <c r="G693">
        <v>0.71899999999999997</v>
      </c>
      <c r="H693" s="3">
        <v>0.96</v>
      </c>
      <c r="I693" s="3">
        <f t="shared" si="10"/>
        <v>4.0000000000000036E-2</v>
      </c>
      <c r="J693">
        <v>25</v>
      </c>
      <c r="K693">
        <v>7</v>
      </c>
      <c r="L693">
        <v>6.6</v>
      </c>
    </row>
    <row r="694" spans="1:12" x14ac:dyDescent="0.2">
      <c r="A694">
        <v>72</v>
      </c>
      <c r="B694">
        <v>3409</v>
      </c>
      <c r="C694">
        <v>142</v>
      </c>
      <c r="D694">
        <v>0.86</v>
      </c>
      <c r="E694" s="3">
        <v>0.19800000000000001</v>
      </c>
      <c r="F694">
        <v>0.19600000000000001</v>
      </c>
      <c r="G694">
        <v>0.80800000000000005</v>
      </c>
      <c r="H694" s="3">
        <v>0.97599999999999998</v>
      </c>
      <c r="I694" s="3">
        <f t="shared" si="10"/>
        <v>2.4000000000000021E-2</v>
      </c>
      <c r="J694">
        <v>21</v>
      </c>
      <c r="K694">
        <v>17</v>
      </c>
      <c r="L694">
        <v>11.6</v>
      </c>
    </row>
    <row r="695" spans="1:12" x14ac:dyDescent="0.2">
      <c r="A695">
        <v>74</v>
      </c>
      <c r="B695">
        <v>3660</v>
      </c>
      <c r="C695">
        <v>129</v>
      </c>
      <c r="D695">
        <v>0.86</v>
      </c>
      <c r="E695" s="3">
        <v>0.106</v>
      </c>
      <c r="F695">
        <v>0.151</v>
      </c>
      <c r="G695">
        <v>0.80300000000000005</v>
      </c>
      <c r="H695" s="3">
        <v>0.96799999999999997</v>
      </c>
      <c r="I695" s="3">
        <f t="shared" si="10"/>
        <v>3.2000000000000028E-2</v>
      </c>
      <c r="J695">
        <v>6</v>
      </c>
      <c r="K695">
        <v>4</v>
      </c>
      <c r="L695">
        <v>6.6</v>
      </c>
    </row>
    <row r="696" spans="1:12" x14ac:dyDescent="0.2">
      <c r="A696">
        <v>41</v>
      </c>
      <c r="B696">
        <v>1824</v>
      </c>
      <c r="C696">
        <v>66</v>
      </c>
      <c r="D696">
        <v>0.86099999999999999</v>
      </c>
      <c r="E696" s="3">
        <v>5.8999999999999997E-2</v>
      </c>
      <c r="F696">
        <v>8.5999999999999993E-2</v>
      </c>
      <c r="G696">
        <v>0.94099999999999995</v>
      </c>
      <c r="H696" s="3">
        <v>0.93799999999999994</v>
      </c>
      <c r="I696" s="3">
        <f t="shared" si="10"/>
        <v>6.2000000000000055E-2</v>
      </c>
      <c r="J696">
        <v>54</v>
      </c>
      <c r="K696">
        <v>4</v>
      </c>
      <c r="L696">
        <v>13.2</v>
      </c>
    </row>
    <row r="697" spans="1:12" x14ac:dyDescent="0.2">
      <c r="A697">
        <v>77</v>
      </c>
      <c r="B697">
        <v>3787</v>
      </c>
      <c r="C697">
        <v>68</v>
      </c>
      <c r="D697">
        <v>0.86099999999999999</v>
      </c>
      <c r="E697" s="3">
        <v>0.15</v>
      </c>
      <c r="F697">
        <v>0.26400000000000001</v>
      </c>
      <c r="G697">
        <v>0.77400000000000002</v>
      </c>
      <c r="H697" s="3">
        <v>0.93500000000000005</v>
      </c>
      <c r="I697" s="3">
        <f t="shared" si="10"/>
        <v>6.4999999999999947E-2</v>
      </c>
      <c r="J697">
        <v>2</v>
      </c>
      <c r="K697">
        <v>15</v>
      </c>
      <c r="L697">
        <v>12.4</v>
      </c>
    </row>
    <row r="698" spans="1:12" x14ac:dyDescent="0.2">
      <c r="A698">
        <v>91</v>
      </c>
      <c r="B698">
        <v>4327</v>
      </c>
      <c r="C698">
        <v>73</v>
      </c>
      <c r="D698">
        <v>0.86099999999999999</v>
      </c>
      <c r="E698" s="3">
        <v>1.2E-2</v>
      </c>
      <c r="F698">
        <v>0.22800000000000001</v>
      </c>
      <c r="G698">
        <v>0.81499999999999995</v>
      </c>
      <c r="H698" s="3">
        <v>0.98599999999999999</v>
      </c>
      <c r="I698" s="3">
        <f t="shared" si="10"/>
        <v>1.4000000000000012E-2</v>
      </c>
      <c r="J698">
        <v>18</v>
      </c>
      <c r="K698">
        <v>12</v>
      </c>
      <c r="L698">
        <v>11</v>
      </c>
    </row>
    <row r="699" spans="1:12" x14ac:dyDescent="0.2">
      <c r="A699">
        <v>32</v>
      </c>
      <c r="B699">
        <v>1522</v>
      </c>
      <c r="C699">
        <v>55</v>
      </c>
      <c r="D699">
        <v>0.86199999999999999</v>
      </c>
      <c r="E699" s="3">
        <v>6.8000000000000005E-2</v>
      </c>
      <c r="F699">
        <v>0.20599999999999999</v>
      </c>
      <c r="G699">
        <v>0.89300000000000002</v>
      </c>
      <c r="H699" s="3">
        <v>0.93500000000000005</v>
      </c>
      <c r="I699" s="3">
        <f t="shared" si="10"/>
        <v>6.4999999999999947E-2</v>
      </c>
      <c r="J699">
        <v>76</v>
      </c>
      <c r="K699">
        <v>16</v>
      </c>
      <c r="L699">
        <v>5.0999999999999996</v>
      </c>
    </row>
    <row r="700" spans="1:12" x14ac:dyDescent="0.2">
      <c r="A700">
        <v>55</v>
      </c>
      <c r="B700">
        <v>2605</v>
      </c>
      <c r="C700">
        <v>44</v>
      </c>
      <c r="D700">
        <v>0.86199999999999999</v>
      </c>
      <c r="E700" s="3">
        <v>8.6999999999999994E-2</v>
      </c>
      <c r="F700">
        <v>0.186</v>
      </c>
      <c r="G700">
        <v>0.84</v>
      </c>
      <c r="H700" s="3">
        <v>0.92</v>
      </c>
      <c r="I700" s="3">
        <f t="shared" si="10"/>
        <v>7.999999999999996E-2</v>
      </c>
      <c r="J700">
        <v>15</v>
      </c>
      <c r="K700">
        <v>9</v>
      </c>
      <c r="L700">
        <v>7.8</v>
      </c>
    </row>
    <row r="701" spans="1:12" x14ac:dyDescent="0.2">
      <c r="A701">
        <v>59</v>
      </c>
      <c r="B701">
        <v>2731</v>
      </c>
      <c r="C701">
        <v>45</v>
      </c>
      <c r="D701">
        <v>0.86199999999999999</v>
      </c>
      <c r="E701" s="3">
        <v>0.17299999999999999</v>
      </c>
      <c r="F701">
        <v>7.4999999999999997E-2</v>
      </c>
      <c r="G701">
        <v>0.73299999999999998</v>
      </c>
      <c r="H701" s="3">
        <v>0.98499999999999999</v>
      </c>
      <c r="I701" s="3">
        <f t="shared" si="10"/>
        <v>1.5000000000000013E-2</v>
      </c>
      <c r="J701">
        <v>20</v>
      </c>
      <c r="K701">
        <v>15</v>
      </c>
      <c r="L701">
        <v>10.5</v>
      </c>
    </row>
    <row r="702" spans="1:12" x14ac:dyDescent="0.2">
      <c r="A702">
        <v>73</v>
      </c>
      <c r="B702">
        <v>3384</v>
      </c>
      <c r="C702">
        <v>82</v>
      </c>
      <c r="D702">
        <v>0.86199999999999999</v>
      </c>
      <c r="E702" s="3">
        <v>0.154</v>
      </c>
      <c r="F702">
        <v>0.121</v>
      </c>
      <c r="G702">
        <v>0.878</v>
      </c>
      <c r="H702" s="3">
        <v>0.91100000000000003</v>
      </c>
      <c r="I702" s="3">
        <f t="shared" si="10"/>
        <v>8.8999999999999968E-2</v>
      </c>
      <c r="J702">
        <v>82</v>
      </c>
      <c r="K702">
        <v>13</v>
      </c>
      <c r="L702">
        <v>1</v>
      </c>
    </row>
    <row r="703" spans="1:12" x14ac:dyDescent="0.2">
      <c r="A703">
        <v>75</v>
      </c>
      <c r="B703">
        <v>3602</v>
      </c>
      <c r="C703">
        <v>58</v>
      </c>
      <c r="D703">
        <v>0.86199999999999999</v>
      </c>
      <c r="E703" s="3">
        <v>0.16800000000000001</v>
      </c>
      <c r="F703">
        <v>0.10299999999999999</v>
      </c>
      <c r="G703">
        <v>0.81899999999999995</v>
      </c>
      <c r="H703" s="3">
        <v>0.91500000000000004</v>
      </c>
      <c r="I703" s="3">
        <f t="shared" si="10"/>
        <v>8.4999999999999964E-2</v>
      </c>
      <c r="J703">
        <v>30</v>
      </c>
      <c r="K703">
        <v>13</v>
      </c>
      <c r="L703">
        <v>8.4</v>
      </c>
    </row>
    <row r="704" spans="1:12" x14ac:dyDescent="0.2">
      <c r="A704">
        <v>86</v>
      </c>
      <c r="B704">
        <v>4256</v>
      </c>
      <c r="C704">
        <v>150</v>
      </c>
      <c r="D704">
        <v>0.86199999999999999</v>
      </c>
      <c r="E704" s="3">
        <v>0.186</v>
      </c>
      <c r="F704">
        <v>9.8000000000000004E-2</v>
      </c>
      <c r="G704">
        <v>0.85099999999999998</v>
      </c>
      <c r="H704" s="3">
        <v>0.95099999999999996</v>
      </c>
      <c r="I704" s="3">
        <f t="shared" si="10"/>
        <v>4.9000000000000044E-2</v>
      </c>
      <c r="J704">
        <v>42</v>
      </c>
      <c r="K704">
        <v>0</v>
      </c>
      <c r="L704">
        <v>12.2</v>
      </c>
    </row>
    <row r="705" spans="1:12" x14ac:dyDescent="0.2">
      <c r="A705">
        <v>99</v>
      </c>
      <c r="B705">
        <v>4796</v>
      </c>
      <c r="C705">
        <v>167</v>
      </c>
      <c r="D705">
        <v>0.86199999999999999</v>
      </c>
      <c r="E705" s="3">
        <v>0.191</v>
      </c>
      <c r="F705">
        <v>0.26400000000000001</v>
      </c>
      <c r="G705">
        <v>0.97799999999999998</v>
      </c>
      <c r="H705" s="3">
        <v>0.97899999999999998</v>
      </c>
      <c r="I705" s="3">
        <f t="shared" si="10"/>
        <v>2.1000000000000019E-2</v>
      </c>
      <c r="J705">
        <v>72</v>
      </c>
      <c r="K705">
        <v>7</v>
      </c>
      <c r="L705">
        <v>12.2</v>
      </c>
    </row>
    <row r="706" spans="1:12" x14ac:dyDescent="0.2">
      <c r="A706">
        <v>30</v>
      </c>
      <c r="B706">
        <v>1234</v>
      </c>
      <c r="C706">
        <v>136</v>
      </c>
      <c r="D706">
        <v>0.86299999999999999</v>
      </c>
      <c r="E706" s="3">
        <v>0.187</v>
      </c>
      <c r="F706">
        <v>7.2999999999999995E-2</v>
      </c>
      <c r="G706">
        <v>0.875</v>
      </c>
      <c r="H706" s="3">
        <v>0.92300000000000004</v>
      </c>
      <c r="I706" s="3">
        <f t="shared" si="10"/>
        <v>7.6999999999999957E-2</v>
      </c>
      <c r="J706">
        <v>28</v>
      </c>
      <c r="K706">
        <v>9</v>
      </c>
      <c r="L706">
        <v>9</v>
      </c>
    </row>
    <row r="707" spans="1:12" x14ac:dyDescent="0.2">
      <c r="A707">
        <v>49</v>
      </c>
      <c r="B707">
        <v>2216</v>
      </c>
      <c r="C707">
        <v>104</v>
      </c>
      <c r="D707">
        <v>0.86299999999999999</v>
      </c>
      <c r="E707" s="3">
        <v>6.0999999999999999E-2</v>
      </c>
      <c r="F707">
        <v>0.253</v>
      </c>
      <c r="G707">
        <v>0.80800000000000005</v>
      </c>
      <c r="H707" s="3">
        <v>0.999</v>
      </c>
      <c r="I707" s="3">
        <f t="shared" ref="I707:I770" si="11">1-H707</f>
        <v>1.0000000000000009E-3</v>
      </c>
      <c r="J707">
        <v>75</v>
      </c>
      <c r="K707">
        <v>11</v>
      </c>
      <c r="L707">
        <v>1.1000000000000001</v>
      </c>
    </row>
    <row r="708" spans="1:12" x14ac:dyDescent="0.2">
      <c r="A708">
        <v>64</v>
      </c>
      <c r="B708">
        <v>3078</v>
      </c>
      <c r="C708">
        <v>42</v>
      </c>
      <c r="D708">
        <v>0.86299999999999999</v>
      </c>
      <c r="E708" s="3">
        <v>0.185</v>
      </c>
      <c r="F708">
        <v>7.6999999999999999E-2</v>
      </c>
      <c r="G708">
        <v>0.745</v>
      </c>
      <c r="H708" s="3">
        <v>0.94399999999999995</v>
      </c>
      <c r="I708" s="3">
        <f t="shared" si="11"/>
        <v>5.600000000000005E-2</v>
      </c>
      <c r="J708">
        <v>87</v>
      </c>
      <c r="K708">
        <v>18</v>
      </c>
      <c r="L708">
        <v>10.1</v>
      </c>
    </row>
    <row r="709" spans="1:12" x14ac:dyDescent="0.2">
      <c r="A709">
        <v>87</v>
      </c>
      <c r="B709">
        <v>4109</v>
      </c>
      <c r="C709">
        <v>49</v>
      </c>
      <c r="D709">
        <v>0.86299999999999999</v>
      </c>
      <c r="E709" s="3">
        <v>2.1999999999999999E-2</v>
      </c>
      <c r="F709">
        <v>5.0999999999999997E-2</v>
      </c>
      <c r="G709">
        <v>0.85699999999999998</v>
      </c>
      <c r="H709" s="3">
        <v>0.93799999999999994</v>
      </c>
      <c r="I709" s="3">
        <f t="shared" si="11"/>
        <v>6.2000000000000055E-2</v>
      </c>
      <c r="J709">
        <v>54</v>
      </c>
      <c r="K709">
        <v>10</v>
      </c>
      <c r="L709">
        <v>14</v>
      </c>
    </row>
    <row r="710" spans="1:12" x14ac:dyDescent="0.2">
      <c r="A710">
        <v>37</v>
      </c>
      <c r="B710">
        <v>1648</v>
      </c>
      <c r="C710">
        <v>83</v>
      </c>
      <c r="D710">
        <v>0.86399999999999999</v>
      </c>
      <c r="E710" s="3">
        <v>0.151</v>
      </c>
      <c r="F710">
        <v>0.126</v>
      </c>
      <c r="G710">
        <v>0.82499999999999996</v>
      </c>
      <c r="H710" s="3">
        <v>0.94099999999999995</v>
      </c>
      <c r="I710" s="3">
        <f t="shared" si="11"/>
        <v>5.9000000000000052E-2</v>
      </c>
      <c r="J710">
        <v>76</v>
      </c>
      <c r="K710">
        <v>16</v>
      </c>
      <c r="L710">
        <v>8.6</v>
      </c>
    </row>
    <row r="711" spans="1:12" x14ac:dyDescent="0.2">
      <c r="A711">
        <v>50</v>
      </c>
      <c r="B711">
        <v>2417</v>
      </c>
      <c r="C711">
        <v>149</v>
      </c>
      <c r="D711">
        <v>0.86399999999999999</v>
      </c>
      <c r="E711" s="3">
        <v>0.19600000000000001</v>
      </c>
      <c r="F711">
        <v>0.28000000000000003</v>
      </c>
      <c r="G711">
        <v>0.93799999999999994</v>
      </c>
      <c r="H711" s="3">
        <v>0.97</v>
      </c>
      <c r="I711" s="3">
        <f t="shared" si="11"/>
        <v>3.0000000000000027E-2</v>
      </c>
      <c r="J711">
        <v>57</v>
      </c>
      <c r="K711">
        <v>1</v>
      </c>
      <c r="L711">
        <v>7.4</v>
      </c>
    </row>
    <row r="712" spans="1:12" x14ac:dyDescent="0.2">
      <c r="A712">
        <v>57</v>
      </c>
      <c r="B712">
        <v>2629</v>
      </c>
      <c r="C712">
        <v>191</v>
      </c>
      <c r="D712">
        <v>0.86399999999999999</v>
      </c>
      <c r="E712" s="3">
        <v>0.125</v>
      </c>
      <c r="F712">
        <v>0.23</v>
      </c>
      <c r="G712">
        <v>0.78300000000000003</v>
      </c>
      <c r="H712" s="3">
        <v>0.92</v>
      </c>
      <c r="I712" s="3">
        <f t="shared" si="11"/>
        <v>7.999999999999996E-2</v>
      </c>
      <c r="J712">
        <v>5</v>
      </c>
      <c r="K712">
        <v>8</v>
      </c>
      <c r="L712">
        <v>7.3</v>
      </c>
    </row>
    <row r="713" spans="1:12" x14ac:dyDescent="0.2">
      <c r="A713">
        <v>66</v>
      </c>
      <c r="B713">
        <v>3130</v>
      </c>
      <c r="C713">
        <v>164</v>
      </c>
      <c r="D713">
        <v>0.86399999999999999</v>
      </c>
      <c r="E713" s="3">
        <v>3.7999999999999999E-2</v>
      </c>
      <c r="F713">
        <v>0.108</v>
      </c>
      <c r="G713">
        <v>0.752</v>
      </c>
      <c r="H713" s="3">
        <v>0.93400000000000005</v>
      </c>
      <c r="I713" s="3">
        <f t="shared" si="11"/>
        <v>6.5999999999999948E-2</v>
      </c>
      <c r="J713">
        <v>22</v>
      </c>
      <c r="K713">
        <v>15</v>
      </c>
      <c r="L713">
        <v>1.7</v>
      </c>
    </row>
    <row r="714" spans="1:12" x14ac:dyDescent="0.2">
      <c r="A714">
        <v>68</v>
      </c>
      <c r="B714">
        <v>3151</v>
      </c>
      <c r="C714">
        <v>22</v>
      </c>
      <c r="D714">
        <v>0.86399999999999999</v>
      </c>
      <c r="E714" s="3">
        <v>0.157</v>
      </c>
      <c r="F714">
        <v>8.5999999999999993E-2</v>
      </c>
      <c r="G714">
        <v>0.90100000000000002</v>
      </c>
      <c r="H714" s="3">
        <v>0.90900000000000003</v>
      </c>
      <c r="I714" s="3">
        <f t="shared" si="11"/>
        <v>9.099999999999997E-2</v>
      </c>
      <c r="J714">
        <v>44</v>
      </c>
      <c r="K714">
        <v>5</v>
      </c>
      <c r="L714">
        <v>14.9</v>
      </c>
    </row>
    <row r="715" spans="1:12" x14ac:dyDescent="0.2">
      <c r="A715">
        <v>82</v>
      </c>
      <c r="B715">
        <v>3915</v>
      </c>
      <c r="C715">
        <v>188</v>
      </c>
      <c r="D715">
        <v>0.86399999999999999</v>
      </c>
      <c r="E715" s="3">
        <v>0.126</v>
      </c>
      <c r="F715">
        <v>0.247</v>
      </c>
      <c r="G715">
        <v>0.84</v>
      </c>
      <c r="H715" s="3">
        <v>0.9</v>
      </c>
      <c r="I715" s="3">
        <f t="shared" si="11"/>
        <v>9.9999999999999978E-2</v>
      </c>
      <c r="J715">
        <v>61</v>
      </c>
      <c r="K715">
        <v>12</v>
      </c>
      <c r="L715">
        <v>12.8</v>
      </c>
    </row>
    <row r="716" spans="1:12" x14ac:dyDescent="0.2">
      <c r="A716">
        <v>82</v>
      </c>
      <c r="B716">
        <v>3951</v>
      </c>
      <c r="C716">
        <v>187</v>
      </c>
      <c r="D716">
        <v>0.86399999999999999</v>
      </c>
      <c r="E716" s="3">
        <v>0.126</v>
      </c>
      <c r="F716">
        <v>0.17299999999999999</v>
      </c>
      <c r="G716">
        <v>0.97</v>
      </c>
      <c r="H716" s="3">
        <v>0.97899999999999998</v>
      </c>
      <c r="I716" s="3">
        <f t="shared" si="11"/>
        <v>2.1000000000000019E-2</v>
      </c>
      <c r="J716">
        <v>44</v>
      </c>
      <c r="K716">
        <v>13</v>
      </c>
      <c r="L716">
        <v>5.9</v>
      </c>
    </row>
    <row r="717" spans="1:12" x14ac:dyDescent="0.2">
      <c r="A717">
        <v>32</v>
      </c>
      <c r="B717">
        <v>1397</v>
      </c>
      <c r="C717">
        <v>127</v>
      </c>
      <c r="D717">
        <v>0.86499999999999999</v>
      </c>
      <c r="E717" s="3">
        <v>0.114</v>
      </c>
      <c r="F717">
        <v>0.17699999999999999</v>
      </c>
      <c r="G717">
        <v>0.72</v>
      </c>
      <c r="H717" s="3">
        <v>0.91300000000000003</v>
      </c>
      <c r="I717" s="3">
        <f t="shared" si="11"/>
        <v>8.6999999999999966E-2</v>
      </c>
      <c r="J717">
        <v>8</v>
      </c>
      <c r="K717">
        <v>11</v>
      </c>
      <c r="L717">
        <v>5.2</v>
      </c>
    </row>
    <row r="718" spans="1:12" x14ac:dyDescent="0.2">
      <c r="A718">
        <v>65</v>
      </c>
      <c r="B718">
        <v>3046</v>
      </c>
      <c r="C718">
        <v>81</v>
      </c>
      <c r="D718">
        <v>0.86499999999999999</v>
      </c>
      <c r="E718" s="3">
        <v>2.4E-2</v>
      </c>
      <c r="F718">
        <v>0.13900000000000001</v>
      </c>
      <c r="G718">
        <v>0.91600000000000004</v>
      </c>
      <c r="H718" s="3">
        <v>0.97399999999999998</v>
      </c>
      <c r="I718" s="3">
        <f t="shared" si="11"/>
        <v>2.6000000000000023E-2</v>
      </c>
      <c r="J718">
        <v>8</v>
      </c>
      <c r="K718">
        <v>15</v>
      </c>
      <c r="L718">
        <v>8.3000000000000007</v>
      </c>
    </row>
    <row r="719" spans="1:12" x14ac:dyDescent="0.2">
      <c r="A719">
        <v>71</v>
      </c>
      <c r="B719">
        <v>3448</v>
      </c>
      <c r="C719">
        <v>122</v>
      </c>
      <c r="D719">
        <v>0.86499999999999999</v>
      </c>
      <c r="E719" s="3">
        <v>4.4999999999999998E-2</v>
      </c>
      <c r="F719">
        <v>0.20699999999999999</v>
      </c>
      <c r="G719">
        <v>0.77</v>
      </c>
      <c r="H719" s="3">
        <v>0.96899999999999997</v>
      </c>
      <c r="I719" s="3">
        <f t="shared" si="11"/>
        <v>3.1000000000000028E-2</v>
      </c>
      <c r="J719">
        <v>37</v>
      </c>
      <c r="K719">
        <v>9</v>
      </c>
      <c r="L719">
        <v>12.4</v>
      </c>
    </row>
    <row r="720" spans="1:12" x14ac:dyDescent="0.2">
      <c r="A720">
        <v>79</v>
      </c>
      <c r="B720">
        <v>3727</v>
      </c>
      <c r="C720">
        <v>185</v>
      </c>
      <c r="D720">
        <v>0.86499999999999999</v>
      </c>
      <c r="E720" s="3">
        <v>0.15</v>
      </c>
      <c r="F720">
        <v>6.3E-2</v>
      </c>
      <c r="G720">
        <v>0.84699999999999998</v>
      </c>
      <c r="H720" s="3">
        <v>0.95899999999999996</v>
      </c>
      <c r="I720" s="3">
        <f t="shared" si="11"/>
        <v>4.1000000000000036E-2</v>
      </c>
      <c r="J720">
        <v>24</v>
      </c>
      <c r="K720">
        <v>13</v>
      </c>
      <c r="L720">
        <v>5.4</v>
      </c>
    </row>
    <row r="721" spans="1:12" x14ac:dyDescent="0.2">
      <c r="A721">
        <v>53</v>
      </c>
      <c r="B721">
        <v>2482</v>
      </c>
      <c r="C721">
        <v>166</v>
      </c>
      <c r="D721">
        <v>0.86599999999999999</v>
      </c>
      <c r="E721" s="3">
        <v>0.19500000000000001</v>
      </c>
      <c r="F721">
        <v>0.127</v>
      </c>
      <c r="G721">
        <v>0.84599999999999997</v>
      </c>
      <c r="H721" s="3">
        <v>0.98199999999999998</v>
      </c>
      <c r="I721" s="3">
        <f t="shared" si="11"/>
        <v>1.8000000000000016E-2</v>
      </c>
      <c r="J721">
        <v>13</v>
      </c>
      <c r="K721">
        <v>7</v>
      </c>
      <c r="L721">
        <v>8.5</v>
      </c>
    </row>
    <row r="722" spans="1:12" x14ac:dyDescent="0.2">
      <c r="A722">
        <v>73</v>
      </c>
      <c r="B722">
        <v>3420</v>
      </c>
      <c r="C722">
        <v>146</v>
      </c>
      <c r="D722">
        <v>0.86599999999999999</v>
      </c>
      <c r="E722" s="3">
        <v>3.5000000000000003E-2</v>
      </c>
      <c r="F722">
        <v>7.9000000000000001E-2</v>
      </c>
      <c r="G722">
        <v>0.92600000000000005</v>
      </c>
      <c r="H722" s="3">
        <v>0.90700000000000003</v>
      </c>
      <c r="I722" s="3">
        <f t="shared" si="11"/>
        <v>9.2999999999999972E-2</v>
      </c>
      <c r="J722">
        <v>93</v>
      </c>
      <c r="K722">
        <v>9</v>
      </c>
      <c r="L722">
        <v>3.9</v>
      </c>
    </row>
    <row r="723" spans="1:12" x14ac:dyDescent="0.2">
      <c r="A723">
        <v>26</v>
      </c>
      <c r="B723">
        <v>1200</v>
      </c>
      <c r="C723">
        <v>138</v>
      </c>
      <c r="D723">
        <v>0.86699999999999999</v>
      </c>
      <c r="E723" s="3">
        <v>6.2E-2</v>
      </c>
      <c r="F723">
        <v>0.20799999999999999</v>
      </c>
      <c r="G723">
        <v>0.98099999999999998</v>
      </c>
      <c r="H723" s="3">
        <v>0.98599999999999999</v>
      </c>
      <c r="I723" s="3">
        <f t="shared" si="11"/>
        <v>1.4000000000000012E-2</v>
      </c>
      <c r="J723">
        <v>67</v>
      </c>
      <c r="K723">
        <v>12</v>
      </c>
      <c r="L723">
        <v>2.5</v>
      </c>
    </row>
    <row r="724" spans="1:12" x14ac:dyDescent="0.2">
      <c r="A724">
        <v>81</v>
      </c>
      <c r="B724">
        <v>3936</v>
      </c>
      <c r="C724">
        <v>151</v>
      </c>
      <c r="D724">
        <v>0.86699999999999999</v>
      </c>
      <c r="E724" s="3">
        <v>0.18</v>
      </c>
      <c r="F724">
        <v>0.27200000000000002</v>
      </c>
      <c r="G724">
        <v>0.76300000000000001</v>
      </c>
      <c r="H724" s="3">
        <v>0.92100000000000004</v>
      </c>
      <c r="I724" s="3">
        <f t="shared" si="11"/>
        <v>7.8999999999999959E-2</v>
      </c>
      <c r="J724">
        <v>62</v>
      </c>
      <c r="K724">
        <v>7</v>
      </c>
      <c r="L724">
        <v>6.2</v>
      </c>
    </row>
    <row r="725" spans="1:12" x14ac:dyDescent="0.2">
      <c r="A725">
        <v>57</v>
      </c>
      <c r="B725">
        <v>2587</v>
      </c>
      <c r="C725">
        <v>46</v>
      </c>
      <c r="D725">
        <v>0.86799999999999999</v>
      </c>
      <c r="E725" s="3">
        <v>0.151</v>
      </c>
      <c r="F725">
        <v>0.20399999999999999</v>
      </c>
      <c r="G725">
        <v>0.90200000000000002</v>
      </c>
      <c r="H725" s="3">
        <v>0.97599999999999998</v>
      </c>
      <c r="I725" s="3">
        <f t="shared" si="11"/>
        <v>2.4000000000000021E-2</v>
      </c>
      <c r="J725">
        <v>88</v>
      </c>
      <c r="K725">
        <v>11</v>
      </c>
      <c r="L725">
        <v>15</v>
      </c>
    </row>
    <row r="726" spans="1:12" x14ac:dyDescent="0.2">
      <c r="A726">
        <v>31</v>
      </c>
      <c r="B726">
        <v>1392</v>
      </c>
      <c r="C726">
        <v>85</v>
      </c>
      <c r="D726">
        <v>0.86899999999999999</v>
      </c>
      <c r="E726" s="3">
        <v>5.2999999999999999E-2</v>
      </c>
      <c r="F726">
        <v>0.14299999999999999</v>
      </c>
      <c r="G726">
        <v>0.97199999999999998</v>
      </c>
      <c r="H726" s="3">
        <v>0.92900000000000005</v>
      </c>
      <c r="I726" s="3">
        <f t="shared" si="11"/>
        <v>7.0999999999999952E-2</v>
      </c>
      <c r="J726">
        <v>17</v>
      </c>
      <c r="K726">
        <v>18</v>
      </c>
      <c r="L726">
        <v>9.1999999999999993</v>
      </c>
    </row>
    <row r="727" spans="1:12" x14ac:dyDescent="0.2">
      <c r="A727">
        <v>57</v>
      </c>
      <c r="B727">
        <v>2576</v>
      </c>
      <c r="C727">
        <v>173</v>
      </c>
      <c r="D727">
        <v>0.86899999999999999</v>
      </c>
      <c r="E727" s="3">
        <v>0.16300000000000001</v>
      </c>
      <c r="F727">
        <v>0.28799999999999998</v>
      </c>
      <c r="G727">
        <v>0.85299999999999998</v>
      </c>
      <c r="H727" s="3">
        <v>0.91700000000000004</v>
      </c>
      <c r="I727" s="3">
        <f t="shared" si="11"/>
        <v>8.2999999999999963E-2</v>
      </c>
      <c r="J727">
        <v>89</v>
      </c>
      <c r="K727">
        <v>7</v>
      </c>
      <c r="L727">
        <v>9.3000000000000007</v>
      </c>
    </row>
    <row r="728" spans="1:12" x14ac:dyDescent="0.2">
      <c r="A728">
        <v>30</v>
      </c>
      <c r="B728">
        <v>1306</v>
      </c>
      <c r="C728">
        <v>162</v>
      </c>
      <c r="D728">
        <v>0.87</v>
      </c>
      <c r="E728" s="3">
        <v>0.188</v>
      </c>
      <c r="F728">
        <v>8.4000000000000005E-2</v>
      </c>
      <c r="G728">
        <v>0.84599999999999997</v>
      </c>
      <c r="H728" s="3">
        <v>0.95099999999999996</v>
      </c>
      <c r="I728" s="3">
        <f t="shared" si="11"/>
        <v>4.9000000000000044E-2</v>
      </c>
      <c r="J728">
        <v>8</v>
      </c>
      <c r="K728">
        <v>7</v>
      </c>
      <c r="L728">
        <v>6.1</v>
      </c>
    </row>
    <row r="729" spans="1:12" x14ac:dyDescent="0.2">
      <c r="A729">
        <v>36</v>
      </c>
      <c r="B729">
        <v>1695</v>
      </c>
      <c r="C729">
        <v>68</v>
      </c>
      <c r="D729">
        <v>0.87</v>
      </c>
      <c r="E729" s="3">
        <v>4.2000000000000003E-2</v>
      </c>
      <c r="F729">
        <v>9.1999999999999998E-2</v>
      </c>
      <c r="G729">
        <v>0.92400000000000004</v>
      </c>
      <c r="H729" s="3">
        <v>0.92200000000000004</v>
      </c>
      <c r="I729" s="3">
        <f t="shared" si="11"/>
        <v>7.7999999999999958E-2</v>
      </c>
      <c r="J729">
        <v>11</v>
      </c>
      <c r="K729">
        <v>12</v>
      </c>
      <c r="L729">
        <v>9.1999999999999993</v>
      </c>
    </row>
    <row r="730" spans="1:12" x14ac:dyDescent="0.2">
      <c r="A730">
        <v>55</v>
      </c>
      <c r="B730">
        <v>2714</v>
      </c>
      <c r="C730">
        <v>114</v>
      </c>
      <c r="D730">
        <v>0.87</v>
      </c>
      <c r="E730" s="3">
        <v>0.107</v>
      </c>
      <c r="F730">
        <v>0.245</v>
      </c>
      <c r="G730">
        <v>0.72499999999999998</v>
      </c>
      <c r="H730" s="3">
        <v>0.94199999999999995</v>
      </c>
      <c r="I730" s="3">
        <f t="shared" si="11"/>
        <v>5.8000000000000052E-2</v>
      </c>
      <c r="J730">
        <v>97</v>
      </c>
      <c r="K730">
        <v>14</v>
      </c>
      <c r="L730">
        <v>4.3</v>
      </c>
    </row>
    <row r="731" spans="1:12" x14ac:dyDescent="0.2">
      <c r="A731">
        <v>74</v>
      </c>
      <c r="B731">
        <v>3584</v>
      </c>
      <c r="C731">
        <v>48</v>
      </c>
      <c r="D731">
        <v>0.87</v>
      </c>
      <c r="E731" s="3">
        <v>9.7000000000000003E-2</v>
      </c>
      <c r="F731">
        <v>0.217</v>
      </c>
      <c r="G731">
        <v>0.85499999999999998</v>
      </c>
      <c r="H731" s="3">
        <v>0.94599999999999995</v>
      </c>
      <c r="I731" s="3">
        <f t="shared" si="11"/>
        <v>5.4000000000000048E-2</v>
      </c>
      <c r="J731">
        <v>28</v>
      </c>
      <c r="K731">
        <v>11</v>
      </c>
      <c r="L731">
        <v>4.8</v>
      </c>
    </row>
    <row r="732" spans="1:12" x14ac:dyDescent="0.2">
      <c r="A732">
        <v>78</v>
      </c>
      <c r="B732">
        <v>3668</v>
      </c>
      <c r="C732">
        <v>102</v>
      </c>
      <c r="D732">
        <v>0.87</v>
      </c>
      <c r="E732" s="3">
        <v>2.4E-2</v>
      </c>
      <c r="F732">
        <v>0.16200000000000001</v>
      </c>
      <c r="G732">
        <v>0.79700000000000004</v>
      </c>
      <c r="H732" s="3">
        <v>0.93100000000000005</v>
      </c>
      <c r="I732" s="3">
        <f t="shared" si="11"/>
        <v>6.899999999999995E-2</v>
      </c>
      <c r="J732">
        <v>30</v>
      </c>
      <c r="K732">
        <v>10</v>
      </c>
      <c r="L732">
        <v>9.1999999999999993</v>
      </c>
    </row>
    <row r="733" spans="1:12" x14ac:dyDescent="0.2">
      <c r="A733">
        <v>100</v>
      </c>
      <c r="B733">
        <v>4926</v>
      </c>
      <c r="C733">
        <v>97</v>
      </c>
      <c r="D733">
        <v>0.87</v>
      </c>
      <c r="E733" s="3">
        <v>0.08</v>
      </c>
      <c r="F733">
        <v>0.20399999999999999</v>
      </c>
      <c r="G733">
        <v>0.876</v>
      </c>
      <c r="H733" s="3">
        <v>0.96399999999999997</v>
      </c>
      <c r="I733" s="3">
        <f t="shared" si="11"/>
        <v>3.6000000000000032E-2</v>
      </c>
      <c r="J733">
        <v>66</v>
      </c>
      <c r="K733">
        <v>2</v>
      </c>
      <c r="L733">
        <v>12.1</v>
      </c>
    </row>
    <row r="734" spans="1:12" x14ac:dyDescent="0.2">
      <c r="A734">
        <v>36</v>
      </c>
      <c r="B734">
        <v>1551</v>
      </c>
      <c r="C734">
        <v>61</v>
      </c>
      <c r="D734">
        <v>0.871</v>
      </c>
      <c r="E734" s="3">
        <v>0.153</v>
      </c>
      <c r="F734">
        <v>0.125</v>
      </c>
      <c r="G734">
        <v>0.81499999999999995</v>
      </c>
      <c r="H734" s="3">
        <v>0.91300000000000003</v>
      </c>
      <c r="I734" s="3">
        <f t="shared" si="11"/>
        <v>8.6999999999999966E-2</v>
      </c>
      <c r="J734">
        <v>28</v>
      </c>
      <c r="K734">
        <v>19</v>
      </c>
      <c r="L734">
        <v>3.8</v>
      </c>
    </row>
    <row r="735" spans="1:12" x14ac:dyDescent="0.2">
      <c r="A735">
        <v>62</v>
      </c>
      <c r="B735">
        <v>2948</v>
      </c>
      <c r="C735">
        <v>118</v>
      </c>
      <c r="D735">
        <v>0.872</v>
      </c>
      <c r="E735" s="3">
        <v>0.112</v>
      </c>
      <c r="F735">
        <v>0.29499999999999998</v>
      </c>
      <c r="G735">
        <v>0.78100000000000003</v>
      </c>
      <c r="H735" s="3">
        <v>0.96299999999999997</v>
      </c>
      <c r="I735" s="3">
        <f t="shared" si="11"/>
        <v>3.7000000000000033E-2</v>
      </c>
      <c r="J735">
        <v>46</v>
      </c>
      <c r="K735">
        <v>9</v>
      </c>
      <c r="L735">
        <v>1.3</v>
      </c>
    </row>
    <row r="736" spans="1:12" x14ac:dyDescent="0.2">
      <c r="A736">
        <v>102</v>
      </c>
      <c r="B736">
        <v>4841</v>
      </c>
      <c r="C736">
        <v>89</v>
      </c>
      <c r="D736">
        <v>0.872</v>
      </c>
      <c r="E736" s="3">
        <v>2.1000000000000001E-2</v>
      </c>
      <c r="F736">
        <v>5.0999999999999997E-2</v>
      </c>
      <c r="G736">
        <v>0.85499999999999998</v>
      </c>
      <c r="H736" s="3">
        <v>0.91200000000000003</v>
      </c>
      <c r="I736" s="3">
        <f t="shared" si="11"/>
        <v>8.7999999999999967E-2</v>
      </c>
      <c r="J736">
        <v>52</v>
      </c>
      <c r="K736">
        <v>16</v>
      </c>
      <c r="L736">
        <v>14</v>
      </c>
    </row>
    <row r="737" spans="1:12" x14ac:dyDescent="0.2">
      <c r="A737">
        <v>30</v>
      </c>
      <c r="B737">
        <v>1456</v>
      </c>
      <c r="C737">
        <v>173</v>
      </c>
      <c r="D737">
        <v>0.873</v>
      </c>
      <c r="E737" s="3">
        <v>6.2E-2</v>
      </c>
      <c r="F737">
        <v>8.5999999999999993E-2</v>
      </c>
      <c r="G737">
        <v>0.875</v>
      </c>
      <c r="H737" s="3">
        <v>0.93600000000000005</v>
      </c>
      <c r="I737" s="3">
        <f t="shared" si="11"/>
        <v>6.3999999999999946E-2</v>
      </c>
      <c r="J737">
        <v>28</v>
      </c>
      <c r="K737">
        <v>12</v>
      </c>
      <c r="L737">
        <v>14.4</v>
      </c>
    </row>
    <row r="738" spans="1:12" x14ac:dyDescent="0.2">
      <c r="A738">
        <v>22</v>
      </c>
      <c r="B738">
        <v>1025</v>
      </c>
      <c r="C738">
        <v>11</v>
      </c>
      <c r="D738">
        <v>0.874</v>
      </c>
      <c r="E738" s="3">
        <v>1.7000000000000001E-2</v>
      </c>
      <c r="F738">
        <v>0.26700000000000002</v>
      </c>
      <c r="G738">
        <v>0.89200000000000002</v>
      </c>
      <c r="H738" s="3">
        <v>0.96199999999999997</v>
      </c>
      <c r="I738" s="3">
        <f t="shared" si="11"/>
        <v>3.8000000000000034E-2</v>
      </c>
      <c r="J738">
        <v>78</v>
      </c>
      <c r="K738">
        <v>17</v>
      </c>
      <c r="L738">
        <v>7.2</v>
      </c>
    </row>
    <row r="739" spans="1:12" x14ac:dyDescent="0.2">
      <c r="A739">
        <v>30</v>
      </c>
      <c r="B739">
        <v>1232</v>
      </c>
      <c r="C739">
        <v>196</v>
      </c>
      <c r="D739">
        <v>0.874</v>
      </c>
      <c r="E739" s="3">
        <v>0.13600000000000001</v>
      </c>
      <c r="F739">
        <v>0.19500000000000001</v>
      </c>
      <c r="G739">
        <v>0.70299999999999996</v>
      </c>
      <c r="H739" s="3">
        <v>0.92</v>
      </c>
      <c r="I739" s="3">
        <f t="shared" si="11"/>
        <v>7.999999999999996E-2</v>
      </c>
      <c r="J739">
        <v>70</v>
      </c>
      <c r="K739">
        <v>15</v>
      </c>
      <c r="L739">
        <v>13.3</v>
      </c>
    </row>
    <row r="740" spans="1:12" x14ac:dyDescent="0.2">
      <c r="A740">
        <v>99</v>
      </c>
      <c r="B740">
        <v>4732</v>
      </c>
      <c r="C740">
        <v>21</v>
      </c>
      <c r="D740">
        <v>0.875</v>
      </c>
      <c r="E740" s="3">
        <v>5.8999999999999997E-2</v>
      </c>
      <c r="F740">
        <v>0.16300000000000001</v>
      </c>
      <c r="G740">
        <v>0.90600000000000003</v>
      </c>
      <c r="H740" s="3">
        <v>0.92300000000000004</v>
      </c>
      <c r="I740" s="3">
        <f t="shared" si="11"/>
        <v>7.6999999999999957E-2</v>
      </c>
      <c r="J740">
        <v>83</v>
      </c>
      <c r="K740">
        <v>15</v>
      </c>
      <c r="L740">
        <v>13.6</v>
      </c>
    </row>
    <row r="741" spans="1:12" x14ac:dyDescent="0.2">
      <c r="A741">
        <v>93</v>
      </c>
      <c r="B741">
        <v>4414</v>
      </c>
      <c r="C741">
        <v>30</v>
      </c>
      <c r="D741">
        <v>0.877</v>
      </c>
      <c r="E741" s="3">
        <v>0.14399999999999999</v>
      </c>
      <c r="F741">
        <v>0.26300000000000001</v>
      </c>
      <c r="G741">
        <v>0.82</v>
      </c>
      <c r="H741" s="3">
        <v>0.99</v>
      </c>
      <c r="I741" s="3">
        <f t="shared" si="11"/>
        <v>1.0000000000000009E-2</v>
      </c>
      <c r="J741">
        <v>56</v>
      </c>
      <c r="K741">
        <v>9</v>
      </c>
      <c r="L741">
        <v>8.8000000000000007</v>
      </c>
    </row>
    <row r="742" spans="1:12" x14ac:dyDescent="0.2">
      <c r="A742">
        <v>71</v>
      </c>
      <c r="B742">
        <v>3512</v>
      </c>
      <c r="C742">
        <v>58</v>
      </c>
      <c r="D742">
        <v>0.878</v>
      </c>
      <c r="E742" s="3">
        <v>0.183</v>
      </c>
      <c r="F742">
        <v>6.3E-2</v>
      </c>
      <c r="G742">
        <v>0.97899999999999998</v>
      </c>
      <c r="H742" s="3">
        <v>0.91</v>
      </c>
      <c r="I742" s="3">
        <f t="shared" si="11"/>
        <v>8.9999999999999969E-2</v>
      </c>
      <c r="J742">
        <v>98</v>
      </c>
      <c r="K742">
        <v>0</v>
      </c>
      <c r="L742">
        <v>2.2999999999999998</v>
      </c>
    </row>
    <row r="743" spans="1:12" x14ac:dyDescent="0.2">
      <c r="A743">
        <v>70</v>
      </c>
      <c r="B743">
        <v>3293</v>
      </c>
      <c r="C743">
        <v>122</v>
      </c>
      <c r="D743">
        <v>0.879</v>
      </c>
      <c r="E743" s="3">
        <v>9.7000000000000003E-2</v>
      </c>
      <c r="F743">
        <v>0.29199999999999998</v>
      </c>
      <c r="G743">
        <v>0.76700000000000002</v>
      </c>
      <c r="H743" s="3">
        <v>0.93600000000000005</v>
      </c>
      <c r="I743" s="3">
        <f t="shared" si="11"/>
        <v>6.3999999999999946E-2</v>
      </c>
      <c r="J743">
        <v>46</v>
      </c>
      <c r="K743">
        <v>14</v>
      </c>
      <c r="L743">
        <v>4.2</v>
      </c>
    </row>
    <row r="744" spans="1:12" x14ac:dyDescent="0.2">
      <c r="A744">
        <v>90</v>
      </c>
      <c r="B744">
        <v>4336</v>
      </c>
      <c r="C744">
        <v>185</v>
      </c>
      <c r="D744">
        <v>0.879</v>
      </c>
      <c r="E744" s="3">
        <v>0.155</v>
      </c>
      <c r="F744">
        <v>0.13</v>
      </c>
      <c r="G744">
        <v>0.874</v>
      </c>
      <c r="H744" s="3">
        <v>0.91200000000000003</v>
      </c>
      <c r="I744" s="3">
        <f t="shared" si="11"/>
        <v>8.7999999999999967E-2</v>
      </c>
      <c r="J744">
        <v>78</v>
      </c>
      <c r="K744">
        <v>7</v>
      </c>
      <c r="L744">
        <v>7.8</v>
      </c>
    </row>
    <row r="745" spans="1:12" x14ac:dyDescent="0.2">
      <c r="A745">
        <v>96</v>
      </c>
      <c r="B745">
        <v>4748</v>
      </c>
      <c r="C745">
        <v>74</v>
      </c>
      <c r="D745">
        <v>0.879</v>
      </c>
      <c r="E745" s="3">
        <v>6.4000000000000001E-2</v>
      </c>
      <c r="F745">
        <v>0.218</v>
      </c>
      <c r="G745">
        <v>0.86599999999999999</v>
      </c>
      <c r="H745" s="3">
        <v>0.95199999999999996</v>
      </c>
      <c r="I745" s="3">
        <f t="shared" si="11"/>
        <v>4.8000000000000043E-2</v>
      </c>
      <c r="J745">
        <v>63</v>
      </c>
      <c r="K745">
        <v>3</v>
      </c>
      <c r="L745">
        <v>10.9</v>
      </c>
    </row>
    <row r="746" spans="1:12" x14ac:dyDescent="0.2">
      <c r="A746">
        <v>62</v>
      </c>
      <c r="B746">
        <v>2957</v>
      </c>
      <c r="C746">
        <v>177</v>
      </c>
      <c r="D746">
        <v>0.88100000000000001</v>
      </c>
      <c r="E746" s="3">
        <v>7.4999999999999997E-2</v>
      </c>
      <c r="F746">
        <v>0.11</v>
      </c>
      <c r="G746">
        <v>0.91300000000000003</v>
      </c>
      <c r="H746" s="3">
        <v>0.91700000000000004</v>
      </c>
      <c r="I746" s="3">
        <f t="shared" si="11"/>
        <v>8.2999999999999963E-2</v>
      </c>
      <c r="J746">
        <v>70</v>
      </c>
      <c r="K746">
        <v>16</v>
      </c>
      <c r="L746">
        <v>10</v>
      </c>
    </row>
    <row r="747" spans="1:12" x14ac:dyDescent="0.2">
      <c r="A747">
        <v>71</v>
      </c>
      <c r="B747">
        <v>3380</v>
      </c>
      <c r="C747">
        <v>172</v>
      </c>
      <c r="D747">
        <v>0.88200000000000001</v>
      </c>
      <c r="E747" s="3">
        <v>6.3E-2</v>
      </c>
      <c r="F747">
        <v>0.23100000000000001</v>
      </c>
      <c r="G747">
        <v>0.71099999999999997</v>
      </c>
      <c r="H747" s="3">
        <v>0.98599999999999999</v>
      </c>
      <c r="I747" s="3">
        <f t="shared" si="11"/>
        <v>1.4000000000000012E-2</v>
      </c>
      <c r="J747">
        <v>23</v>
      </c>
      <c r="K747">
        <v>17</v>
      </c>
      <c r="L747">
        <v>10.9</v>
      </c>
    </row>
    <row r="748" spans="1:12" x14ac:dyDescent="0.2">
      <c r="A748">
        <v>76</v>
      </c>
      <c r="B748">
        <v>3530</v>
      </c>
      <c r="C748">
        <v>141</v>
      </c>
      <c r="D748">
        <v>0.88300000000000001</v>
      </c>
      <c r="E748" s="3">
        <v>0.14799999999999999</v>
      </c>
      <c r="F748">
        <v>0.21</v>
      </c>
      <c r="G748">
        <v>0.77100000000000002</v>
      </c>
      <c r="H748" s="3">
        <v>0.98699999999999999</v>
      </c>
      <c r="I748" s="3">
        <f t="shared" si="11"/>
        <v>1.3000000000000012E-2</v>
      </c>
      <c r="J748">
        <v>57</v>
      </c>
      <c r="K748">
        <v>0</v>
      </c>
      <c r="L748">
        <v>2.2999999999999998</v>
      </c>
    </row>
    <row r="749" spans="1:12" x14ac:dyDescent="0.2">
      <c r="A749">
        <v>27</v>
      </c>
      <c r="B749">
        <v>1118</v>
      </c>
      <c r="C749">
        <v>45</v>
      </c>
      <c r="D749">
        <v>0.88400000000000001</v>
      </c>
      <c r="E749" s="3">
        <v>0.128</v>
      </c>
      <c r="F749">
        <v>0.20599999999999999</v>
      </c>
      <c r="G749">
        <v>0.82799999999999996</v>
      </c>
      <c r="H749" s="3">
        <v>0.93200000000000005</v>
      </c>
      <c r="I749" s="3">
        <f t="shared" si="11"/>
        <v>6.7999999999999949E-2</v>
      </c>
      <c r="J749">
        <v>62</v>
      </c>
      <c r="K749">
        <v>17</v>
      </c>
      <c r="L749">
        <v>13</v>
      </c>
    </row>
    <row r="750" spans="1:12" x14ac:dyDescent="0.2">
      <c r="A750">
        <v>39</v>
      </c>
      <c r="B750">
        <v>1883</v>
      </c>
      <c r="C750">
        <v>183</v>
      </c>
      <c r="D750">
        <v>0.88400000000000001</v>
      </c>
      <c r="E750" s="3">
        <v>0.125</v>
      </c>
      <c r="F750">
        <v>0.153</v>
      </c>
      <c r="G750">
        <v>0.95099999999999996</v>
      </c>
      <c r="H750" s="3">
        <v>0.93899999999999995</v>
      </c>
      <c r="I750" s="3">
        <f t="shared" si="11"/>
        <v>6.1000000000000054E-2</v>
      </c>
      <c r="J750">
        <v>40</v>
      </c>
      <c r="K750">
        <v>14</v>
      </c>
      <c r="L750">
        <v>7.6</v>
      </c>
    </row>
    <row r="751" spans="1:12" x14ac:dyDescent="0.2">
      <c r="A751">
        <v>76</v>
      </c>
      <c r="B751">
        <v>3652</v>
      </c>
      <c r="C751">
        <v>103</v>
      </c>
      <c r="D751">
        <v>0.88400000000000001</v>
      </c>
      <c r="E751" s="3">
        <v>8.7999999999999995E-2</v>
      </c>
      <c r="F751">
        <v>0.11600000000000001</v>
      </c>
      <c r="G751">
        <v>0.82099999999999995</v>
      </c>
      <c r="H751" s="3">
        <v>0.90100000000000002</v>
      </c>
      <c r="I751" s="3">
        <f t="shared" si="11"/>
        <v>9.8999999999999977E-2</v>
      </c>
      <c r="J751">
        <v>59</v>
      </c>
      <c r="K751">
        <v>19</v>
      </c>
      <c r="L751">
        <v>6.2</v>
      </c>
    </row>
    <row r="752" spans="1:12" x14ac:dyDescent="0.2">
      <c r="A752">
        <v>80</v>
      </c>
      <c r="B752">
        <v>3773</v>
      </c>
      <c r="C752">
        <v>17</v>
      </c>
      <c r="D752">
        <v>0.88400000000000001</v>
      </c>
      <c r="E752" s="3">
        <v>7.1999999999999995E-2</v>
      </c>
      <c r="F752">
        <v>0.29599999999999999</v>
      </c>
      <c r="G752">
        <v>0.81</v>
      </c>
      <c r="H752" s="3">
        <v>0.96699999999999997</v>
      </c>
      <c r="I752" s="3">
        <f t="shared" si="11"/>
        <v>3.3000000000000029E-2</v>
      </c>
      <c r="J752">
        <v>66</v>
      </c>
      <c r="K752">
        <v>16</v>
      </c>
      <c r="L752">
        <v>14.4</v>
      </c>
    </row>
    <row r="753" spans="1:12" x14ac:dyDescent="0.2">
      <c r="A753">
        <v>93</v>
      </c>
      <c r="B753">
        <v>4453</v>
      </c>
      <c r="C753">
        <v>118</v>
      </c>
      <c r="D753">
        <v>0.88400000000000001</v>
      </c>
      <c r="E753" s="3">
        <v>0.13200000000000001</v>
      </c>
      <c r="F753">
        <v>0.248</v>
      </c>
      <c r="G753">
        <v>0.72199999999999998</v>
      </c>
      <c r="H753" s="3">
        <v>0.96599999999999997</v>
      </c>
      <c r="I753" s="3">
        <f t="shared" si="11"/>
        <v>3.400000000000003E-2</v>
      </c>
      <c r="J753">
        <v>88</v>
      </c>
      <c r="K753">
        <v>18</v>
      </c>
      <c r="L753">
        <v>14.2</v>
      </c>
    </row>
    <row r="754" spans="1:12" x14ac:dyDescent="0.2">
      <c r="A754">
        <v>29</v>
      </c>
      <c r="B754">
        <v>1224</v>
      </c>
      <c r="C754">
        <v>121</v>
      </c>
      <c r="D754">
        <v>0.88500000000000001</v>
      </c>
      <c r="E754" s="3">
        <v>0.187</v>
      </c>
      <c r="F754">
        <v>0.28399999999999997</v>
      </c>
      <c r="G754">
        <v>0.751</v>
      </c>
      <c r="H754" s="3">
        <v>0.92100000000000004</v>
      </c>
      <c r="I754" s="3">
        <f t="shared" si="11"/>
        <v>7.8999999999999959E-2</v>
      </c>
      <c r="J754">
        <v>80</v>
      </c>
      <c r="K754">
        <v>18</v>
      </c>
      <c r="L754">
        <v>4.7</v>
      </c>
    </row>
    <row r="755" spans="1:12" x14ac:dyDescent="0.2">
      <c r="A755">
        <v>44</v>
      </c>
      <c r="B755">
        <v>1973</v>
      </c>
      <c r="C755">
        <v>67</v>
      </c>
      <c r="D755">
        <v>0.88500000000000001</v>
      </c>
      <c r="E755" s="3">
        <v>8.3000000000000004E-2</v>
      </c>
      <c r="F755">
        <v>0.16600000000000001</v>
      </c>
      <c r="G755">
        <v>0.84299999999999997</v>
      </c>
      <c r="H755" s="3">
        <v>0.94899999999999995</v>
      </c>
      <c r="I755" s="3">
        <f t="shared" si="11"/>
        <v>5.1000000000000045E-2</v>
      </c>
      <c r="J755">
        <v>94</v>
      </c>
      <c r="K755">
        <v>19</v>
      </c>
      <c r="L755">
        <v>2.8</v>
      </c>
    </row>
    <row r="756" spans="1:12" x14ac:dyDescent="0.2">
      <c r="A756">
        <v>65</v>
      </c>
      <c r="B756">
        <v>3161</v>
      </c>
      <c r="C756">
        <v>16</v>
      </c>
      <c r="D756">
        <v>0.88500000000000001</v>
      </c>
      <c r="E756" s="3">
        <v>3.4000000000000002E-2</v>
      </c>
      <c r="F756">
        <v>0.188</v>
      </c>
      <c r="G756">
        <v>0.73399999999999999</v>
      </c>
      <c r="H756" s="3">
        <v>0.97799999999999998</v>
      </c>
      <c r="I756" s="3">
        <f t="shared" si="11"/>
        <v>2.200000000000002E-2</v>
      </c>
      <c r="J756">
        <v>74</v>
      </c>
      <c r="K756">
        <v>14</v>
      </c>
      <c r="L756">
        <v>3.1</v>
      </c>
    </row>
    <row r="757" spans="1:12" x14ac:dyDescent="0.2">
      <c r="A757">
        <v>70</v>
      </c>
      <c r="B757">
        <v>3369</v>
      </c>
      <c r="C757">
        <v>120</v>
      </c>
      <c r="D757">
        <v>0.88500000000000001</v>
      </c>
      <c r="E757" s="3">
        <v>9.9000000000000005E-2</v>
      </c>
      <c r="F757">
        <v>0.20699999999999999</v>
      </c>
      <c r="G757">
        <v>0.76</v>
      </c>
      <c r="H757" s="3">
        <v>0.94499999999999995</v>
      </c>
      <c r="I757" s="3">
        <f t="shared" si="11"/>
        <v>5.5000000000000049E-2</v>
      </c>
      <c r="J757">
        <v>86</v>
      </c>
      <c r="K757">
        <v>17</v>
      </c>
      <c r="L757">
        <v>4.3</v>
      </c>
    </row>
    <row r="758" spans="1:12" x14ac:dyDescent="0.2">
      <c r="A758">
        <v>90</v>
      </c>
      <c r="B758">
        <v>4402</v>
      </c>
      <c r="C758">
        <v>17</v>
      </c>
      <c r="D758">
        <v>0.88500000000000001</v>
      </c>
      <c r="E758" s="3">
        <v>2.1000000000000001E-2</v>
      </c>
      <c r="F758">
        <v>0.20699999999999999</v>
      </c>
      <c r="G758">
        <v>0.98199999999999998</v>
      </c>
      <c r="H758" s="3">
        <v>0.95499999999999996</v>
      </c>
      <c r="I758" s="3">
        <f t="shared" si="11"/>
        <v>4.500000000000004E-2</v>
      </c>
      <c r="J758">
        <v>79</v>
      </c>
      <c r="K758">
        <v>7</v>
      </c>
      <c r="L758">
        <v>4</v>
      </c>
    </row>
    <row r="759" spans="1:12" x14ac:dyDescent="0.2">
      <c r="A759">
        <v>52</v>
      </c>
      <c r="B759">
        <v>2391</v>
      </c>
      <c r="C759">
        <v>102</v>
      </c>
      <c r="D759">
        <v>0.88600000000000001</v>
      </c>
      <c r="E759" s="3">
        <v>0.106</v>
      </c>
      <c r="F759">
        <v>0.24299999999999999</v>
      </c>
      <c r="G759">
        <v>0.82</v>
      </c>
      <c r="H759" s="3">
        <v>0.9</v>
      </c>
      <c r="I759" s="3">
        <f t="shared" si="11"/>
        <v>9.9999999999999978E-2</v>
      </c>
      <c r="J759">
        <v>73</v>
      </c>
      <c r="K759">
        <v>17</v>
      </c>
      <c r="L759">
        <v>4.0999999999999996</v>
      </c>
    </row>
    <row r="760" spans="1:12" x14ac:dyDescent="0.2">
      <c r="A760">
        <v>67</v>
      </c>
      <c r="B760">
        <v>3321</v>
      </c>
      <c r="C760">
        <v>35</v>
      </c>
      <c r="D760">
        <v>0.88600000000000001</v>
      </c>
      <c r="E760" s="3">
        <v>1.7000000000000001E-2</v>
      </c>
      <c r="F760">
        <v>0.155</v>
      </c>
      <c r="G760">
        <v>0.72599999999999998</v>
      </c>
      <c r="H760" s="3">
        <v>0.98499999999999999</v>
      </c>
      <c r="I760" s="3">
        <f t="shared" si="11"/>
        <v>1.5000000000000013E-2</v>
      </c>
      <c r="J760">
        <v>14</v>
      </c>
      <c r="K760">
        <v>7</v>
      </c>
      <c r="L760">
        <v>5.6</v>
      </c>
    </row>
    <row r="761" spans="1:12" x14ac:dyDescent="0.2">
      <c r="A761">
        <v>72</v>
      </c>
      <c r="B761">
        <v>3469</v>
      </c>
      <c r="C761">
        <v>158</v>
      </c>
      <c r="D761">
        <v>0.88600000000000001</v>
      </c>
      <c r="E761" s="3">
        <v>0.10199999999999999</v>
      </c>
      <c r="F761">
        <v>0.191</v>
      </c>
      <c r="G761">
        <v>0.71599999999999997</v>
      </c>
      <c r="H761" s="3">
        <v>0.997</v>
      </c>
      <c r="I761" s="3">
        <f t="shared" si="11"/>
        <v>3.0000000000000027E-3</v>
      </c>
      <c r="J761">
        <v>81</v>
      </c>
      <c r="K761">
        <v>8</v>
      </c>
      <c r="L761">
        <v>7.4</v>
      </c>
    </row>
    <row r="762" spans="1:12" x14ac:dyDescent="0.2">
      <c r="A762">
        <v>101</v>
      </c>
      <c r="B762">
        <v>4920</v>
      </c>
      <c r="C762">
        <v>107</v>
      </c>
      <c r="D762">
        <v>0.88600000000000001</v>
      </c>
      <c r="E762" s="3">
        <v>0.16600000000000001</v>
      </c>
      <c r="F762">
        <v>0.23</v>
      </c>
      <c r="G762">
        <v>0.748</v>
      </c>
      <c r="H762" s="3">
        <v>0.93200000000000005</v>
      </c>
      <c r="I762" s="3">
        <f t="shared" si="11"/>
        <v>6.7999999999999949E-2</v>
      </c>
      <c r="J762">
        <v>86</v>
      </c>
      <c r="K762">
        <v>19</v>
      </c>
      <c r="L762">
        <v>2.2999999999999998</v>
      </c>
    </row>
    <row r="763" spans="1:12" x14ac:dyDescent="0.2">
      <c r="A763">
        <v>33</v>
      </c>
      <c r="B763">
        <v>1461</v>
      </c>
      <c r="C763">
        <v>140</v>
      </c>
      <c r="D763">
        <v>0.88700000000000001</v>
      </c>
      <c r="E763" s="3">
        <v>0.1</v>
      </c>
      <c r="F763">
        <v>0.29199999999999998</v>
      </c>
      <c r="G763">
        <v>0.95</v>
      </c>
      <c r="H763" s="3">
        <v>0.91800000000000004</v>
      </c>
      <c r="I763" s="3">
        <f t="shared" si="11"/>
        <v>8.1999999999999962E-2</v>
      </c>
      <c r="J763">
        <v>20</v>
      </c>
      <c r="K763">
        <v>4</v>
      </c>
      <c r="L763">
        <v>9.6999999999999993</v>
      </c>
    </row>
    <row r="764" spans="1:12" x14ac:dyDescent="0.2">
      <c r="A764">
        <v>62</v>
      </c>
      <c r="B764">
        <v>3046</v>
      </c>
      <c r="C764">
        <v>67</v>
      </c>
      <c r="D764">
        <v>0.88700000000000001</v>
      </c>
      <c r="E764" s="3">
        <v>0.19800000000000001</v>
      </c>
      <c r="F764">
        <v>0.28399999999999997</v>
      </c>
      <c r="G764">
        <v>0.746</v>
      </c>
      <c r="H764" s="3">
        <v>0.90900000000000003</v>
      </c>
      <c r="I764" s="3">
        <f t="shared" si="11"/>
        <v>9.099999999999997E-2</v>
      </c>
      <c r="J764">
        <v>67</v>
      </c>
      <c r="K764">
        <v>18</v>
      </c>
      <c r="L764">
        <v>3.3</v>
      </c>
    </row>
    <row r="765" spans="1:12" x14ac:dyDescent="0.2">
      <c r="A765">
        <v>25</v>
      </c>
      <c r="B765">
        <v>1021</v>
      </c>
      <c r="C765">
        <v>93</v>
      </c>
      <c r="D765">
        <v>0.88800000000000001</v>
      </c>
      <c r="E765" s="3">
        <v>6.7000000000000004E-2</v>
      </c>
      <c r="F765">
        <v>0.27900000000000003</v>
      </c>
      <c r="G765">
        <v>0.79200000000000004</v>
      </c>
      <c r="H765" s="3">
        <v>0.96499999999999997</v>
      </c>
      <c r="I765" s="3">
        <f t="shared" si="11"/>
        <v>3.5000000000000031E-2</v>
      </c>
      <c r="J765">
        <v>89</v>
      </c>
      <c r="K765">
        <v>16</v>
      </c>
      <c r="L765">
        <v>4.8</v>
      </c>
    </row>
    <row r="766" spans="1:12" x14ac:dyDescent="0.2">
      <c r="A766">
        <v>26</v>
      </c>
      <c r="B766">
        <v>1266</v>
      </c>
      <c r="C766">
        <v>25</v>
      </c>
      <c r="D766">
        <v>0.88800000000000001</v>
      </c>
      <c r="E766" s="3">
        <v>0.159</v>
      </c>
      <c r="F766">
        <v>0.27400000000000002</v>
      </c>
      <c r="G766">
        <v>0.97</v>
      </c>
      <c r="H766" s="3">
        <v>0.95499999999999996</v>
      </c>
      <c r="I766" s="3">
        <f t="shared" si="11"/>
        <v>4.500000000000004E-2</v>
      </c>
      <c r="J766">
        <v>29</v>
      </c>
      <c r="K766">
        <v>13</v>
      </c>
      <c r="L766">
        <v>4.9000000000000004</v>
      </c>
    </row>
    <row r="767" spans="1:12" x14ac:dyDescent="0.2">
      <c r="A767">
        <v>94</v>
      </c>
      <c r="B767">
        <v>4607</v>
      </c>
      <c r="C767">
        <v>150</v>
      </c>
      <c r="D767">
        <v>0.88800000000000001</v>
      </c>
      <c r="E767" s="3">
        <v>0.14799999999999999</v>
      </c>
      <c r="F767">
        <v>0.23</v>
      </c>
      <c r="G767">
        <v>0.81100000000000005</v>
      </c>
      <c r="H767" s="3">
        <v>0.95199999999999996</v>
      </c>
      <c r="I767" s="3">
        <f t="shared" si="11"/>
        <v>4.8000000000000043E-2</v>
      </c>
      <c r="J767">
        <v>35</v>
      </c>
      <c r="K767">
        <v>15</v>
      </c>
      <c r="L767">
        <v>11</v>
      </c>
    </row>
    <row r="768" spans="1:12" x14ac:dyDescent="0.2">
      <c r="A768">
        <v>38</v>
      </c>
      <c r="B768">
        <v>1699</v>
      </c>
      <c r="C768">
        <v>43</v>
      </c>
      <c r="D768">
        <v>0.88900000000000001</v>
      </c>
      <c r="E768" s="3">
        <v>0.19800000000000001</v>
      </c>
      <c r="F768">
        <v>0.17299999999999999</v>
      </c>
      <c r="G768">
        <v>0.89700000000000002</v>
      </c>
      <c r="H768" s="3">
        <v>0.97599999999999998</v>
      </c>
      <c r="I768" s="3">
        <f t="shared" si="11"/>
        <v>2.4000000000000021E-2</v>
      </c>
      <c r="J768">
        <v>72</v>
      </c>
      <c r="K768">
        <v>1</v>
      </c>
      <c r="L768">
        <v>6.2</v>
      </c>
    </row>
    <row r="769" spans="1:12" x14ac:dyDescent="0.2">
      <c r="A769">
        <v>58</v>
      </c>
      <c r="B769">
        <v>2772</v>
      </c>
      <c r="C769">
        <v>186</v>
      </c>
      <c r="D769">
        <v>0.89100000000000001</v>
      </c>
      <c r="E769" s="3">
        <v>5.6000000000000001E-2</v>
      </c>
      <c r="F769">
        <v>0.115</v>
      </c>
      <c r="G769">
        <v>0.84</v>
      </c>
      <c r="H769" s="3">
        <v>0.91</v>
      </c>
      <c r="I769" s="3">
        <f t="shared" si="11"/>
        <v>8.9999999999999969E-2</v>
      </c>
      <c r="J769">
        <v>12</v>
      </c>
      <c r="K769">
        <v>2</v>
      </c>
      <c r="L769">
        <v>1.4</v>
      </c>
    </row>
    <row r="770" spans="1:12" x14ac:dyDescent="0.2">
      <c r="A770">
        <v>70</v>
      </c>
      <c r="B770">
        <v>3236</v>
      </c>
      <c r="C770">
        <v>136</v>
      </c>
      <c r="D770">
        <v>0.89200000000000002</v>
      </c>
      <c r="E770" s="3">
        <v>0.13100000000000001</v>
      </c>
      <c r="F770">
        <v>5.6000000000000001E-2</v>
      </c>
      <c r="G770">
        <v>0.87</v>
      </c>
      <c r="H770" s="3">
        <v>0.94399999999999995</v>
      </c>
      <c r="I770" s="3">
        <f t="shared" si="11"/>
        <v>5.600000000000005E-2</v>
      </c>
      <c r="J770">
        <v>6</v>
      </c>
      <c r="K770">
        <v>3</v>
      </c>
      <c r="L770">
        <v>4.5</v>
      </c>
    </row>
    <row r="771" spans="1:12" x14ac:dyDescent="0.2">
      <c r="A771">
        <v>35</v>
      </c>
      <c r="B771">
        <v>1694</v>
      </c>
      <c r="C771">
        <v>176</v>
      </c>
      <c r="D771">
        <v>0.89300000000000002</v>
      </c>
      <c r="E771" s="3">
        <v>7.5999999999999998E-2</v>
      </c>
      <c r="F771">
        <v>0.11700000000000001</v>
      </c>
      <c r="G771">
        <v>0.70099999999999996</v>
      </c>
      <c r="H771" s="3">
        <v>0.92100000000000004</v>
      </c>
      <c r="I771" s="3">
        <f t="shared" ref="I771:I834" si="12">1-H771</f>
        <v>7.8999999999999959E-2</v>
      </c>
      <c r="J771">
        <v>48</v>
      </c>
      <c r="K771">
        <v>7</v>
      </c>
      <c r="L771">
        <v>6.3</v>
      </c>
    </row>
    <row r="772" spans="1:12" x14ac:dyDescent="0.2">
      <c r="A772">
        <v>51</v>
      </c>
      <c r="B772">
        <v>2523</v>
      </c>
      <c r="C772">
        <v>160</v>
      </c>
      <c r="D772">
        <v>0.89300000000000002</v>
      </c>
      <c r="E772" s="3">
        <v>3.3000000000000002E-2</v>
      </c>
      <c r="F772">
        <v>0.23899999999999999</v>
      </c>
      <c r="G772">
        <v>0.81899999999999995</v>
      </c>
      <c r="H772" s="3">
        <v>0.94799999999999995</v>
      </c>
      <c r="I772" s="3">
        <f t="shared" si="12"/>
        <v>5.2000000000000046E-2</v>
      </c>
      <c r="J772">
        <v>78</v>
      </c>
      <c r="K772">
        <v>4</v>
      </c>
      <c r="L772">
        <v>3.8</v>
      </c>
    </row>
    <row r="773" spans="1:12" x14ac:dyDescent="0.2">
      <c r="A773">
        <v>55</v>
      </c>
      <c r="B773">
        <v>2697</v>
      </c>
      <c r="C773">
        <v>97</v>
      </c>
      <c r="D773">
        <v>0.89300000000000002</v>
      </c>
      <c r="E773" s="3">
        <v>7.4999999999999997E-2</v>
      </c>
      <c r="F773">
        <v>0.16500000000000001</v>
      </c>
      <c r="G773">
        <v>0.77</v>
      </c>
      <c r="H773" s="3">
        <v>0.92700000000000005</v>
      </c>
      <c r="I773" s="3">
        <f t="shared" si="12"/>
        <v>7.2999999999999954E-2</v>
      </c>
      <c r="J773">
        <v>18</v>
      </c>
      <c r="K773">
        <v>7</v>
      </c>
      <c r="L773">
        <v>7.4</v>
      </c>
    </row>
    <row r="774" spans="1:12" x14ac:dyDescent="0.2">
      <c r="A774">
        <v>71</v>
      </c>
      <c r="B774">
        <v>3320</v>
      </c>
      <c r="C774">
        <v>92</v>
      </c>
      <c r="D774">
        <v>0.89300000000000002</v>
      </c>
      <c r="E774" s="3">
        <v>6.0999999999999999E-2</v>
      </c>
      <c r="F774">
        <v>0.109</v>
      </c>
      <c r="G774">
        <v>0.89</v>
      </c>
      <c r="H774" s="3">
        <v>0.99299999999999999</v>
      </c>
      <c r="I774" s="3">
        <f t="shared" si="12"/>
        <v>7.0000000000000062E-3</v>
      </c>
      <c r="J774">
        <v>21</v>
      </c>
      <c r="K774">
        <v>6</v>
      </c>
      <c r="L774">
        <v>7.9</v>
      </c>
    </row>
    <row r="775" spans="1:12" x14ac:dyDescent="0.2">
      <c r="A775">
        <v>68</v>
      </c>
      <c r="B775">
        <v>3342</v>
      </c>
      <c r="C775">
        <v>49</v>
      </c>
      <c r="D775">
        <v>0.89300000000000002</v>
      </c>
      <c r="E775" s="3">
        <v>7.0000000000000007E-2</v>
      </c>
      <c r="F775">
        <v>0.23</v>
      </c>
      <c r="G775">
        <v>0.83399999999999996</v>
      </c>
      <c r="H775" s="3">
        <v>0.91500000000000004</v>
      </c>
      <c r="I775" s="3">
        <f t="shared" si="12"/>
        <v>8.4999999999999964E-2</v>
      </c>
      <c r="J775">
        <v>46</v>
      </c>
      <c r="K775">
        <v>14</v>
      </c>
      <c r="L775">
        <v>4.5</v>
      </c>
    </row>
    <row r="776" spans="1:12" x14ac:dyDescent="0.2">
      <c r="A776">
        <v>67</v>
      </c>
      <c r="B776">
        <v>3207</v>
      </c>
      <c r="C776">
        <v>145</v>
      </c>
      <c r="D776">
        <v>0.89400000000000002</v>
      </c>
      <c r="E776" s="3">
        <v>7.2999999999999995E-2</v>
      </c>
      <c r="F776">
        <v>0.224</v>
      </c>
      <c r="G776">
        <v>0.86199999999999999</v>
      </c>
      <c r="H776" s="3">
        <v>0.98599999999999999</v>
      </c>
      <c r="I776" s="3">
        <f t="shared" si="12"/>
        <v>1.4000000000000012E-2</v>
      </c>
      <c r="J776">
        <v>45</v>
      </c>
      <c r="K776">
        <v>17</v>
      </c>
      <c r="L776">
        <v>7.2</v>
      </c>
    </row>
    <row r="777" spans="1:12" x14ac:dyDescent="0.2">
      <c r="A777">
        <v>98</v>
      </c>
      <c r="B777">
        <v>4833</v>
      </c>
      <c r="C777">
        <v>42</v>
      </c>
      <c r="D777">
        <v>0.89400000000000002</v>
      </c>
      <c r="E777" s="3">
        <v>8.1000000000000003E-2</v>
      </c>
      <c r="F777">
        <v>0.06</v>
      </c>
      <c r="G777">
        <v>0.76900000000000002</v>
      </c>
      <c r="H777" s="3">
        <v>0.96599999999999997</v>
      </c>
      <c r="I777" s="3">
        <f t="shared" si="12"/>
        <v>3.400000000000003E-2</v>
      </c>
      <c r="J777">
        <v>15</v>
      </c>
      <c r="K777">
        <v>16</v>
      </c>
      <c r="L777">
        <v>10</v>
      </c>
    </row>
    <row r="778" spans="1:12" x14ac:dyDescent="0.2">
      <c r="A778">
        <v>45</v>
      </c>
      <c r="B778">
        <v>2045</v>
      </c>
      <c r="C778">
        <v>177</v>
      </c>
      <c r="D778">
        <v>0.89500000000000002</v>
      </c>
      <c r="E778" s="3">
        <v>7.4999999999999997E-2</v>
      </c>
      <c r="F778">
        <v>0.153</v>
      </c>
      <c r="G778">
        <v>0.93500000000000005</v>
      </c>
      <c r="H778" s="3">
        <v>0.93600000000000005</v>
      </c>
      <c r="I778" s="3">
        <f t="shared" si="12"/>
        <v>6.3999999999999946E-2</v>
      </c>
      <c r="J778">
        <v>27</v>
      </c>
      <c r="K778">
        <v>16</v>
      </c>
      <c r="L778">
        <v>2.8</v>
      </c>
    </row>
    <row r="779" spans="1:12" x14ac:dyDescent="0.2">
      <c r="A779">
        <v>59</v>
      </c>
      <c r="B779">
        <v>2757</v>
      </c>
      <c r="C779">
        <v>191</v>
      </c>
      <c r="D779">
        <v>0.89500000000000002</v>
      </c>
      <c r="E779" s="3">
        <v>0.155</v>
      </c>
      <c r="F779">
        <v>0.17100000000000001</v>
      </c>
      <c r="G779">
        <v>0.78</v>
      </c>
      <c r="H779" s="3">
        <v>0.97</v>
      </c>
      <c r="I779" s="3">
        <f t="shared" si="12"/>
        <v>3.0000000000000027E-2</v>
      </c>
      <c r="J779">
        <v>92</v>
      </c>
      <c r="K779">
        <v>3</v>
      </c>
      <c r="L779">
        <v>7.3</v>
      </c>
    </row>
    <row r="780" spans="1:12" x14ac:dyDescent="0.2">
      <c r="A780">
        <v>91</v>
      </c>
      <c r="B780">
        <v>4372</v>
      </c>
      <c r="C780">
        <v>99</v>
      </c>
      <c r="D780">
        <v>0.89500000000000002</v>
      </c>
      <c r="E780" s="3">
        <v>0.105</v>
      </c>
      <c r="F780">
        <v>0.186</v>
      </c>
      <c r="G780">
        <v>0.73499999999999999</v>
      </c>
      <c r="H780" s="3">
        <v>0.90200000000000002</v>
      </c>
      <c r="I780" s="3">
        <f t="shared" si="12"/>
        <v>9.7999999999999976E-2</v>
      </c>
      <c r="J780">
        <v>97</v>
      </c>
      <c r="K780">
        <v>11</v>
      </c>
      <c r="L780">
        <v>12.2</v>
      </c>
    </row>
    <row r="781" spans="1:12" x14ac:dyDescent="0.2">
      <c r="A781">
        <v>92</v>
      </c>
      <c r="B781">
        <v>4488</v>
      </c>
      <c r="C781">
        <v>144</v>
      </c>
      <c r="D781">
        <v>0.89500000000000002</v>
      </c>
      <c r="E781" s="3">
        <v>1.7000000000000001E-2</v>
      </c>
      <c r="F781">
        <v>0.25800000000000001</v>
      </c>
      <c r="G781">
        <v>0.86499999999999999</v>
      </c>
      <c r="H781" s="3">
        <v>0.97299999999999998</v>
      </c>
      <c r="I781" s="3">
        <f t="shared" si="12"/>
        <v>2.7000000000000024E-2</v>
      </c>
      <c r="J781">
        <v>28</v>
      </c>
      <c r="K781">
        <v>5</v>
      </c>
      <c r="L781">
        <v>3.4</v>
      </c>
    </row>
    <row r="782" spans="1:12" x14ac:dyDescent="0.2">
      <c r="A782">
        <v>29</v>
      </c>
      <c r="B782">
        <v>1197</v>
      </c>
      <c r="C782">
        <v>186</v>
      </c>
      <c r="D782">
        <v>0.89600000000000002</v>
      </c>
      <c r="E782" s="3">
        <v>0.17199999999999999</v>
      </c>
      <c r="F782">
        <v>0.26800000000000002</v>
      </c>
      <c r="G782">
        <v>0.94099999999999995</v>
      </c>
      <c r="H782" s="3">
        <v>0.90900000000000003</v>
      </c>
      <c r="I782" s="3">
        <f t="shared" si="12"/>
        <v>9.099999999999997E-2</v>
      </c>
      <c r="J782">
        <v>9</v>
      </c>
      <c r="K782">
        <v>0</v>
      </c>
      <c r="L782">
        <v>7.7</v>
      </c>
    </row>
    <row r="783" spans="1:12" x14ac:dyDescent="0.2">
      <c r="A783">
        <v>31</v>
      </c>
      <c r="B783">
        <v>1419</v>
      </c>
      <c r="C783">
        <v>91</v>
      </c>
      <c r="D783">
        <v>0.89600000000000002</v>
      </c>
      <c r="E783" s="3">
        <v>0.13300000000000001</v>
      </c>
      <c r="F783">
        <v>0.27</v>
      </c>
      <c r="G783">
        <v>0.91600000000000004</v>
      </c>
      <c r="H783" s="3">
        <v>0.92700000000000005</v>
      </c>
      <c r="I783" s="3">
        <f t="shared" si="12"/>
        <v>7.2999999999999954E-2</v>
      </c>
      <c r="J783">
        <v>43</v>
      </c>
      <c r="K783">
        <v>5</v>
      </c>
      <c r="L783">
        <v>14.3</v>
      </c>
    </row>
    <row r="784" spans="1:12" x14ac:dyDescent="0.2">
      <c r="A784">
        <v>80</v>
      </c>
      <c r="B784">
        <v>3798</v>
      </c>
      <c r="C784">
        <v>86</v>
      </c>
      <c r="D784">
        <v>0.89600000000000002</v>
      </c>
      <c r="E784" s="3">
        <v>0.13300000000000001</v>
      </c>
      <c r="F784">
        <v>6.9000000000000006E-2</v>
      </c>
      <c r="G784">
        <v>0.70199999999999996</v>
      </c>
      <c r="H784" s="3">
        <v>0.98499999999999999</v>
      </c>
      <c r="I784" s="3">
        <f t="shared" si="12"/>
        <v>1.5000000000000013E-2</v>
      </c>
      <c r="J784">
        <v>12</v>
      </c>
      <c r="K784">
        <v>13</v>
      </c>
      <c r="L784">
        <v>10.8</v>
      </c>
    </row>
    <row r="785" spans="1:12" x14ac:dyDescent="0.2">
      <c r="A785">
        <v>101</v>
      </c>
      <c r="B785">
        <v>4925</v>
      </c>
      <c r="C785">
        <v>12</v>
      </c>
      <c r="D785">
        <v>0.89700000000000002</v>
      </c>
      <c r="E785" s="3">
        <v>0.14399999999999999</v>
      </c>
      <c r="F785">
        <v>0.19900000000000001</v>
      </c>
      <c r="G785">
        <v>0.77800000000000002</v>
      </c>
      <c r="H785" s="3">
        <v>0.91600000000000004</v>
      </c>
      <c r="I785" s="3">
        <f t="shared" si="12"/>
        <v>8.3999999999999964E-2</v>
      </c>
      <c r="J785">
        <v>52</v>
      </c>
      <c r="K785">
        <v>3</v>
      </c>
      <c r="L785">
        <v>4.0999999999999996</v>
      </c>
    </row>
    <row r="786" spans="1:12" x14ac:dyDescent="0.2">
      <c r="A786">
        <v>48</v>
      </c>
      <c r="B786">
        <v>2270</v>
      </c>
      <c r="C786">
        <v>192</v>
      </c>
      <c r="D786">
        <v>0.89800000000000002</v>
      </c>
      <c r="E786" s="3">
        <v>0.113</v>
      </c>
      <c r="F786">
        <v>0.11</v>
      </c>
      <c r="G786">
        <v>0.85699999999999998</v>
      </c>
      <c r="H786" s="3">
        <v>0.92300000000000004</v>
      </c>
      <c r="I786" s="3">
        <f t="shared" si="12"/>
        <v>7.6999999999999957E-2</v>
      </c>
      <c r="J786">
        <v>5</v>
      </c>
      <c r="K786">
        <v>16</v>
      </c>
      <c r="L786">
        <v>11.9</v>
      </c>
    </row>
    <row r="787" spans="1:12" x14ac:dyDescent="0.2">
      <c r="A787">
        <v>53</v>
      </c>
      <c r="B787">
        <v>2478</v>
      </c>
      <c r="C787">
        <v>165</v>
      </c>
      <c r="D787">
        <v>0.89800000000000002</v>
      </c>
      <c r="E787" s="3">
        <v>0.105</v>
      </c>
      <c r="F787">
        <v>0.17299999999999999</v>
      </c>
      <c r="G787">
        <v>0.89600000000000002</v>
      </c>
      <c r="H787" s="3">
        <v>0.99399999999999999</v>
      </c>
      <c r="I787" s="3">
        <f t="shared" si="12"/>
        <v>6.0000000000000053E-3</v>
      </c>
      <c r="J787">
        <v>32</v>
      </c>
      <c r="K787">
        <v>18</v>
      </c>
      <c r="L787">
        <v>11</v>
      </c>
    </row>
    <row r="788" spans="1:12" x14ac:dyDescent="0.2">
      <c r="A788">
        <v>38</v>
      </c>
      <c r="B788">
        <v>1868</v>
      </c>
      <c r="C788">
        <v>192</v>
      </c>
      <c r="D788">
        <v>0.89900000000000002</v>
      </c>
      <c r="E788" s="3">
        <v>0.14299999999999999</v>
      </c>
      <c r="F788">
        <v>7.1999999999999995E-2</v>
      </c>
      <c r="G788">
        <v>0.73499999999999999</v>
      </c>
      <c r="H788" s="3">
        <v>0.92200000000000004</v>
      </c>
      <c r="I788" s="3">
        <f t="shared" si="12"/>
        <v>7.7999999999999958E-2</v>
      </c>
      <c r="J788">
        <v>84</v>
      </c>
      <c r="K788">
        <v>12</v>
      </c>
      <c r="L788">
        <v>1.2</v>
      </c>
    </row>
    <row r="789" spans="1:12" x14ac:dyDescent="0.2">
      <c r="A789">
        <v>91</v>
      </c>
      <c r="B789">
        <v>4512</v>
      </c>
      <c r="C789">
        <v>90</v>
      </c>
      <c r="D789">
        <v>0.89900000000000002</v>
      </c>
      <c r="E789" s="3">
        <v>0.13600000000000001</v>
      </c>
      <c r="F789">
        <v>0.21299999999999999</v>
      </c>
      <c r="G789">
        <v>0.95199999999999996</v>
      </c>
      <c r="H789" s="3">
        <v>0.97799999999999998</v>
      </c>
      <c r="I789" s="3">
        <f t="shared" si="12"/>
        <v>2.200000000000002E-2</v>
      </c>
      <c r="J789">
        <v>33</v>
      </c>
      <c r="K789">
        <v>4</v>
      </c>
      <c r="L789">
        <v>11.2</v>
      </c>
    </row>
    <row r="790" spans="1:12" x14ac:dyDescent="0.2">
      <c r="A790">
        <v>55</v>
      </c>
      <c r="B790">
        <v>2577</v>
      </c>
      <c r="C790">
        <v>184</v>
      </c>
      <c r="D790">
        <v>0.9</v>
      </c>
      <c r="E790" s="3">
        <v>0.02</v>
      </c>
      <c r="F790">
        <v>0.23499999999999999</v>
      </c>
      <c r="G790">
        <v>0.72599999999999998</v>
      </c>
      <c r="H790" s="3">
        <v>0.90700000000000003</v>
      </c>
      <c r="I790" s="3">
        <f t="shared" si="12"/>
        <v>9.2999999999999972E-2</v>
      </c>
      <c r="J790">
        <v>60</v>
      </c>
      <c r="K790">
        <v>8</v>
      </c>
      <c r="L790">
        <v>9.1999999999999993</v>
      </c>
    </row>
    <row r="791" spans="1:12" x14ac:dyDescent="0.2">
      <c r="A791">
        <v>65</v>
      </c>
      <c r="B791">
        <v>3016</v>
      </c>
      <c r="C791">
        <v>138</v>
      </c>
      <c r="D791">
        <v>0.9</v>
      </c>
      <c r="E791" s="3">
        <v>0.10199999999999999</v>
      </c>
      <c r="F791">
        <v>0.188</v>
      </c>
      <c r="G791">
        <v>0.86099999999999999</v>
      </c>
      <c r="H791" s="3">
        <v>0.93700000000000006</v>
      </c>
      <c r="I791" s="3">
        <f t="shared" si="12"/>
        <v>6.2999999999999945E-2</v>
      </c>
      <c r="J791">
        <v>48</v>
      </c>
      <c r="K791">
        <v>14</v>
      </c>
      <c r="L791">
        <v>6.8</v>
      </c>
    </row>
    <row r="792" spans="1:12" x14ac:dyDescent="0.2">
      <c r="A792">
        <v>102</v>
      </c>
      <c r="B792">
        <v>4835</v>
      </c>
      <c r="C792">
        <v>89</v>
      </c>
      <c r="D792">
        <v>0.90100000000000002</v>
      </c>
      <c r="E792" s="3">
        <v>0.189</v>
      </c>
      <c r="F792">
        <v>0.27900000000000003</v>
      </c>
      <c r="G792">
        <v>0.95099999999999996</v>
      </c>
      <c r="H792" s="3">
        <v>0.96099999999999997</v>
      </c>
      <c r="I792" s="3">
        <f t="shared" si="12"/>
        <v>3.9000000000000035E-2</v>
      </c>
      <c r="J792">
        <v>44</v>
      </c>
      <c r="K792">
        <v>3</v>
      </c>
      <c r="L792">
        <v>9.4</v>
      </c>
    </row>
    <row r="793" spans="1:12" x14ac:dyDescent="0.2">
      <c r="A793">
        <v>100</v>
      </c>
      <c r="B793">
        <v>4924</v>
      </c>
      <c r="C793">
        <v>157</v>
      </c>
      <c r="D793">
        <v>0.90200000000000002</v>
      </c>
      <c r="E793" s="3">
        <v>7.4999999999999997E-2</v>
      </c>
      <c r="F793">
        <v>0.221</v>
      </c>
      <c r="G793">
        <v>0.89600000000000002</v>
      </c>
      <c r="H793" s="3">
        <v>0.92500000000000004</v>
      </c>
      <c r="I793" s="3">
        <f t="shared" si="12"/>
        <v>7.4999999999999956E-2</v>
      </c>
      <c r="J793">
        <v>16</v>
      </c>
      <c r="K793">
        <v>12</v>
      </c>
      <c r="L793">
        <v>8.9</v>
      </c>
    </row>
    <row r="794" spans="1:12" x14ac:dyDescent="0.2">
      <c r="A794">
        <v>52</v>
      </c>
      <c r="B794">
        <v>2519</v>
      </c>
      <c r="C794">
        <v>20</v>
      </c>
      <c r="D794">
        <v>0.90400000000000003</v>
      </c>
      <c r="E794" s="3">
        <v>9.2999999999999999E-2</v>
      </c>
      <c r="F794">
        <v>0.26200000000000001</v>
      </c>
      <c r="G794">
        <v>0.84199999999999997</v>
      </c>
      <c r="H794" s="3">
        <v>0.97899999999999998</v>
      </c>
      <c r="I794" s="3">
        <f t="shared" si="12"/>
        <v>2.1000000000000019E-2</v>
      </c>
      <c r="J794">
        <v>56</v>
      </c>
      <c r="K794">
        <v>10</v>
      </c>
      <c r="L794">
        <v>1.5</v>
      </c>
    </row>
    <row r="795" spans="1:12" x14ac:dyDescent="0.2">
      <c r="A795">
        <v>62</v>
      </c>
      <c r="B795">
        <v>3038</v>
      </c>
      <c r="C795">
        <v>111</v>
      </c>
      <c r="D795">
        <v>0.90400000000000003</v>
      </c>
      <c r="E795" s="3">
        <v>0.126</v>
      </c>
      <c r="F795">
        <v>0.156</v>
      </c>
      <c r="G795">
        <v>0.874</v>
      </c>
      <c r="H795" s="3">
        <v>0.92300000000000004</v>
      </c>
      <c r="I795" s="3">
        <f t="shared" si="12"/>
        <v>7.6999999999999957E-2</v>
      </c>
      <c r="J795">
        <v>7</v>
      </c>
      <c r="K795">
        <v>14</v>
      </c>
      <c r="L795">
        <v>7.1</v>
      </c>
    </row>
    <row r="796" spans="1:12" x14ac:dyDescent="0.2">
      <c r="A796">
        <v>86</v>
      </c>
      <c r="B796">
        <v>4227</v>
      </c>
      <c r="C796">
        <v>88</v>
      </c>
      <c r="D796">
        <v>0.90400000000000003</v>
      </c>
      <c r="E796" s="3">
        <v>3.5000000000000003E-2</v>
      </c>
      <c r="F796">
        <v>0.28699999999999998</v>
      </c>
      <c r="G796">
        <v>0.879</v>
      </c>
      <c r="H796" s="3">
        <v>0.92500000000000004</v>
      </c>
      <c r="I796" s="3">
        <f t="shared" si="12"/>
        <v>7.4999999999999956E-2</v>
      </c>
      <c r="J796">
        <v>93</v>
      </c>
      <c r="K796">
        <v>13</v>
      </c>
      <c r="L796">
        <v>10.8</v>
      </c>
    </row>
    <row r="797" spans="1:12" x14ac:dyDescent="0.2">
      <c r="A797">
        <v>51</v>
      </c>
      <c r="B797">
        <v>2469</v>
      </c>
      <c r="C797">
        <v>48</v>
      </c>
      <c r="D797">
        <v>0.90500000000000003</v>
      </c>
      <c r="E797" s="3">
        <v>0.124</v>
      </c>
      <c r="F797">
        <v>9.4E-2</v>
      </c>
      <c r="G797">
        <v>0.76100000000000001</v>
      </c>
      <c r="H797" s="3">
        <v>0.91800000000000004</v>
      </c>
      <c r="I797" s="3">
        <f t="shared" si="12"/>
        <v>8.1999999999999962E-2</v>
      </c>
      <c r="J797">
        <v>93</v>
      </c>
      <c r="K797">
        <v>13</v>
      </c>
      <c r="L797">
        <v>9.4</v>
      </c>
    </row>
    <row r="798" spans="1:12" x14ac:dyDescent="0.2">
      <c r="A798">
        <v>80</v>
      </c>
      <c r="B798">
        <v>3749</v>
      </c>
      <c r="C798">
        <v>153</v>
      </c>
      <c r="D798">
        <v>0.90500000000000003</v>
      </c>
      <c r="E798" s="3">
        <v>0.16700000000000001</v>
      </c>
      <c r="F798">
        <v>0.23499999999999999</v>
      </c>
      <c r="G798">
        <v>0.7</v>
      </c>
      <c r="H798" s="3">
        <v>0.98799999999999999</v>
      </c>
      <c r="I798" s="3">
        <f t="shared" si="12"/>
        <v>1.2000000000000011E-2</v>
      </c>
      <c r="J798">
        <v>3</v>
      </c>
      <c r="K798">
        <v>8</v>
      </c>
      <c r="L798">
        <v>12.6</v>
      </c>
    </row>
    <row r="799" spans="1:12" x14ac:dyDescent="0.2">
      <c r="A799">
        <v>79</v>
      </c>
      <c r="B799">
        <v>3765</v>
      </c>
      <c r="C799">
        <v>157</v>
      </c>
      <c r="D799">
        <v>0.90500000000000003</v>
      </c>
      <c r="E799" s="3">
        <v>0.17</v>
      </c>
      <c r="F799">
        <v>7.9000000000000001E-2</v>
      </c>
      <c r="G799">
        <v>0.76600000000000001</v>
      </c>
      <c r="H799" s="3">
        <v>0.90200000000000002</v>
      </c>
      <c r="I799" s="3">
        <f t="shared" si="12"/>
        <v>9.7999999999999976E-2</v>
      </c>
      <c r="J799">
        <v>28</v>
      </c>
      <c r="K799">
        <v>19</v>
      </c>
      <c r="L799">
        <v>9.4</v>
      </c>
    </row>
    <row r="800" spans="1:12" x14ac:dyDescent="0.2">
      <c r="A800">
        <v>31</v>
      </c>
      <c r="B800">
        <v>1492</v>
      </c>
      <c r="C800">
        <v>52</v>
      </c>
      <c r="D800">
        <v>0.90600000000000003</v>
      </c>
      <c r="E800" s="3">
        <v>0.18</v>
      </c>
      <c r="F800">
        <v>0.252</v>
      </c>
      <c r="G800">
        <v>0.70899999999999996</v>
      </c>
      <c r="H800" s="3">
        <v>0.95</v>
      </c>
      <c r="I800" s="3">
        <f t="shared" si="12"/>
        <v>5.0000000000000044E-2</v>
      </c>
      <c r="J800">
        <v>54</v>
      </c>
      <c r="K800">
        <v>3</v>
      </c>
      <c r="L800">
        <v>10.1</v>
      </c>
    </row>
    <row r="801" spans="1:12" x14ac:dyDescent="0.2">
      <c r="A801">
        <v>42</v>
      </c>
      <c r="B801">
        <v>1882</v>
      </c>
      <c r="C801">
        <v>28</v>
      </c>
      <c r="D801">
        <v>0.90600000000000003</v>
      </c>
      <c r="E801" s="3">
        <v>0.14899999999999999</v>
      </c>
      <c r="F801">
        <v>5.1999999999999998E-2</v>
      </c>
      <c r="G801">
        <v>0.79600000000000004</v>
      </c>
      <c r="H801" s="3">
        <v>0.98199999999999998</v>
      </c>
      <c r="I801" s="3">
        <f t="shared" si="12"/>
        <v>1.8000000000000016E-2</v>
      </c>
      <c r="J801">
        <v>79</v>
      </c>
      <c r="K801">
        <v>12</v>
      </c>
      <c r="L801">
        <v>6.7</v>
      </c>
    </row>
    <row r="802" spans="1:12" x14ac:dyDescent="0.2">
      <c r="A802">
        <v>82</v>
      </c>
      <c r="B802">
        <v>4065</v>
      </c>
      <c r="C802">
        <v>130</v>
      </c>
      <c r="D802">
        <v>0.90700000000000003</v>
      </c>
      <c r="E802" s="3">
        <v>5.0999999999999997E-2</v>
      </c>
      <c r="F802">
        <v>0.27400000000000002</v>
      </c>
      <c r="G802">
        <v>0.73699999999999999</v>
      </c>
      <c r="H802" s="3">
        <v>0.90300000000000002</v>
      </c>
      <c r="I802" s="3">
        <f t="shared" si="12"/>
        <v>9.6999999999999975E-2</v>
      </c>
      <c r="J802">
        <v>45</v>
      </c>
      <c r="K802">
        <v>15</v>
      </c>
      <c r="L802">
        <v>12</v>
      </c>
    </row>
    <row r="803" spans="1:12" x14ac:dyDescent="0.2">
      <c r="A803">
        <v>73</v>
      </c>
      <c r="B803">
        <v>3478</v>
      </c>
      <c r="C803">
        <v>132</v>
      </c>
      <c r="D803">
        <v>0.90900000000000003</v>
      </c>
      <c r="E803" s="3">
        <v>0.13300000000000001</v>
      </c>
      <c r="F803">
        <v>0.187</v>
      </c>
      <c r="G803">
        <v>0.86099999999999999</v>
      </c>
      <c r="H803" s="3">
        <v>0.98899999999999999</v>
      </c>
      <c r="I803" s="3">
        <f t="shared" si="12"/>
        <v>1.100000000000001E-2</v>
      </c>
      <c r="J803">
        <v>19</v>
      </c>
      <c r="K803">
        <v>17</v>
      </c>
      <c r="L803">
        <v>14.8</v>
      </c>
    </row>
    <row r="804" spans="1:12" x14ac:dyDescent="0.2">
      <c r="A804">
        <v>99</v>
      </c>
      <c r="B804">
        <v>4920</v>
      </c>
      <c r="C804">
        <v>117</v>
      </c>
      <c r="D804">
        <v>0.90900000000000003</v>
      </c>
      <c r="E804" s="3">
        <v>0.183</v>
      </c>
      <c r="F804">
        <v>0.251</v>
      </c>
      <c r="G804">
        <v>0.81899999999999995</v>
      </c>
      <c r="H804" s="3">
        <v>0.92800000000000005</v>
      </c>
      <c r="I804" s="3">
        <f t="shared" si="12"/>
        <v>7.1999999999999953E-2</v>
      </c>
      <c r="J804">
        <v>8</v>
      </c>
      <c r="K804">
        <v>9</v>
      </c>
      <c r="L804">
        <v>9.8000000000000007</v>
      </c>
    </row>
    <row r="805" spans="1:12" x14ac:dyDescent="0.2">
      <c r="A805">
        <v>35</v>
      </c>
      <c r="B805">
        <v>1532</v>
      </c>
      <c r="C805">
        <v>94</v>
      </c>
      <c r="D805">
        <v>0.91</v>
      </c>
      <c r="E805" s="3">
        <v>0.19400000000000001</v>
      </c>
      <c r="F805">
        <v>0.26800000000000002</v>
      </c>
      <c r="G805">
        <v>0.83</v>
      </c>
      <c r="H805" s="3">
        <v>0.98499999999999999</v>
      </c>
      <c r="I805" s="3">
        <f t="shared" si="12"/>
        <v>1.5000000000000013E-2</v>
      </c>
      <c r="J805">
        <v>47</v>
      </c>
      <c r="K805">
        <v>11</v>
      </c>
      <c r="L805">
        <v>4.4000000000000004</v>
      </c>
    </row>
    <row r="806" spans="1:12" x14ac:dyDescent="0.2">
      <c r="A806">
        <v>86</v>
      </c>
      <c r="B806">
        <v>4158</v>
      </c>
      <c r="C806">
        <v>74</v>
      </c>
      <c r="D806">
        <v>0.91</v>
      </c>
      <c r="E806" s="3">
        <v>6.7000000000000004E-2</v>
      </c>
      <c r="F806">
        <v>0.188</v>
      </c>
      <c r="G806">
        <v>0.84499999999999997</v>
      </c>
      <c r="H806" s="3">
        <v>0.996</v>
      </c>
      <c r="I806" s="3">
        <f t="shared" si="12"/>
        <v>4.0000000000000036E-3</v>
      </c>
      <c r="J806">
        <v>56</v>
      </c>
      <c r="K806">
        <v>9</v>
      </c>
      <c r="L806">
        <v>3.1</v>
      </c>
    </row>
    <row r="807" spans="1:12" x14ac:dyDescent="0.2">
      <c r="A807">
        <v>33</v>
      </c>
      <c r="B807">
        <v>1404</v>
      </c>
      <c r="C807">
        <v>93</v>
      </c>
      <c r="D807">
        <v>0.91100000000000003</v>
      </c>
      <c r="E807" s="3">
        <v>6.2E-2</v>
      </c>
      <c r="F807">
        <v>0.104</v>
      </c>
      <c r="G807">
        <v>0.86499999999999999</v>
      </c>
      <c r="H807" s="3">
        <v>0.99299999999999999</v>
      </c>
      <c r="I807" s="3">
        <f t="shared" si="12"/>
        <v>7.0000000000000062E-3</v>
      </c>
      <c r="J807">
        <v>17</v>
      </c>
      <c r="K807">
        <v>9</v>
      </c>
      <c r="L807">
        <v>1.3</v>
      </c>
    </row>
    <row r="808" spans="1:12" x14ac:dyDescent="0.2">
      <c r="A808">
        <v>37</v>
      </c>
      <c r="B808">
        <v>1628</v>
      </c>
      <c r="C808">
        <v>45</v>
      </c>
      <c r="D808">
        <v>0.91100000000000003</v>
      </c>
      <c r="E808" s="3">
        <v>0.14599999999999999</v>
      </c>
      <c r="F808">
        <v>0.19800000000000001</v>
      </c>
      <c r="G808">
        <v>0.89300000000000002</v>
      </c>
      <c r="H808" s="3">
        <v>0.91300000000000003</v>
      </c>
      <c r="I808" s="3">
        <f t="shared" si="12"/>
        <v>8.6999999999999966E-2</v>
      </c>
      <c r="J808">
        <v>68</v>
      </c>
      <c r="K808">
        <v>3</v>
      </c>
      <c r="L808">
        <v>5.3</v>
      </c>
    </row>
    <row r="809" spans="1:12" x14ac:dyDescent="0.2">
      <c r="A809">
        <v>53</v>
      </c>
      <c r="B809">
        <v>2572</v>
      </c>
      <c r="C809">
        <v>162</v>
      </c>
      <c r="D809">
        <v>0.91100000000000003</v>
      </c>
      <c r="E809" s="3">
        <v>3.1E-2</v>
      </c>
      <c r="F809">
        <v>0.111</v>
      </c>
      <c r="G809">
        <v>0.71099999999999997</v>
      </c>
      <c r="H809" s="3">
        <v>0.93899999999999995</v>
      </c>
      <c r="I809" s="3">
        <f t="shared" si="12"/>
        <v>6.1000000000000054E-2</v>
      </c>
      <c r="J809">
        <v>72</v>
      </c>
      <c r="K809">
        <v>7</v>
      </c>
      <c r="L809">
        <v>5.4</v>
      </c>
    </row>
    <row r="810" spans="1:12" x14ac:dyDescent="0.2">
      <c r="A810">
        <v>95</v>
      </c>
      <c r="B810">
        <v>4580</v>
      </c>
      <c r="C810">
        <v>192</v>
      </c>
      <c r="D810">
        <v>0.91100000000000003</v>
      </c>
      <c r="E810" s="3">
        <v>3.5999999999999997E-2</v>
      </c>
      <c r="F810">
        <v>0.161</v>
      </c>
      <c r="G810">
        <v>0.90400000000000003</v>
      </c>
      <c r="H810" s="3">
        <v>0.90900000000000003</v>
      </c>
      <c r="I810" s="3">
        <f t="shared" si="12"/>
        <v>9.099999999999997E-2</v>
      </c>
      <c r="J810">
        <v>69</v>
      </c>
      <c r="K810">
        <v>7</v>
      </c>
      <c r="L810">
        <v>6</v>
      </c>
    </row>
    <row r="811" spans="1:12" x14ac:dyDescent="0.2">
      <c r="A811">
        <v>66</v>
      </c>
      <c r="B811">
        <v>3201</v>
      </c>
      <c r="C811">
        <v>77</v>
      </c>
      <c r="D811">
        <v>0.91200000000000003</v>
      </c>
      <c r="E811" s="3">
        <v>1.2999999999999999E-2</v>
      </c>
      <c r="F811">
        <v>0.11799999999999999</v>
      </c>
      <c r="G811">
        <v>0.83199999999999996</v>
      </c>
      <c r="H811" s="3">
        <v>0.98</v>
      </c>
      <c r="I811" s="3">
        <f t="shared" si="12"/>
        <v>2.0000000000000018E-2</v>
      </c>
      <c r="J811">
        <v>34</v>
      </c>
      <c r="K811">
        <v>4</v>
      </c>
      <c r="L811">
        <v>12.5</v>
      </c>
    </row>
    <row r="812" spans="1:12" x14ac:dyDescent="0.2">
      <c r="A812">
        <v>70</v>
      </c>
      <c r="B812">
        <v>3371</v>
      </c>
      <c r="C812">
        <v>183</v>
      </c>
      <c r="D812">
        <v>0.91200000000000003</v>
      </c>
      <c r="E812" s="3">
        <v>0.128</v>
      </c>
      <c r="F812">
        <v>0.17100000000000001</v>
      </c>
      <c r="G812">
        <v>0.77400000000000002</v>
      </c>
      <c r="H812" s="3">
        <v>0.98499999999999999</v>
      </c>
      <c r="I812" s="3">
        <f t="shared" si="12"/>
        <v>1.5000000000000013E-2</v>
      </c>
      <c r="J812">
        <v>74</v>
      </c>
      <c r="K812">
        <v>11</v>
      </c>
      <c r="L812">
        <v>6.1</v>
      </c>
    </row>
    <row r="813" spans="1:12" x14ac:dyDescent="0.2">
      <c r="A813">
        <v>81</v>
      </c>
      <c r="B813">
        <v>3884</v>
      </c>
      <c r="C813">
        <v>192</v>
      </c>
      <c r="D813">
        <v>0.91200000000000003</v>
      </c>
      <c r="E813" s="3">
        <v>8.8999999999999996E-2</v>
      </c>
      <c r="F813">
        <v>5.3999999999999999E-2</v>
      </c>
      <c r="G813">
        <v>0.91100000000000003</v>
      </c>
      <c r="H813" s="3">
        <v>0.99399999999999999</v>
      </c>
      <c r="I813" s="3">
        <f t="shared" si="12"/>
        <v>6.0000000000000053E-3</v>
      </c>
      <c r="J813">
        <v>98</v>
      </c>
      <c r="K813">
        <v>16</v>
      </c>
      <c r="L813">
        <v>8.1999999999999993</v>
      </c>
    </row>
    <row r="814" spans="1:12" x14ac:dyDescent="0.2">
      <c r="A814">
        <v>57</v>
      </c>
      <c r="B814">
        <v>2581</v>
      </c>
      <c r="C814">
        <v>187</v>
      </c>
      <c r="D814">
        <v>0.91300000000000003</v>
      </c>
      <c r="E814" s="3">
        <v>0.14699999999999999</v>
      </c>
      <c r="F814">
        <v>0.16300000000000001</v>
      </c>
      <c r="G814">
        <v>0.94399999999999995</v>
      </c>
      <c r="H814" s="3">
        <v>0.95099999999999996</v>
      </c>
      <c r="I814" s="3">
        <f t="shared" si="12"/>
        <v>4.9000000000000044E-2</v>
      </c>
      <c r="J814">
        <v>8</v>
      </c>
      <c r="K814">
        <v>0</v>
      </c>
      <c r="L814">
        <v>3.9</v>
      </c>
    </row>
    <row r="815" spans="1:12" x14ac:dyDescent="0.2">
      <c r="A815">
        <v>72</v>
      </c>
      <c r="B815">
        <v>3482</v>
      </c>
      <c r="C815">
        <v>186</v>
      </c>
      <c r="D815">
        <v>0.91300000000000003</v>
      </c>
      <c r="E815" s="3">
        <v>0.13900000000000001</v>
      </c>
      <c r="F815">
        <v>0.22800000000000001</v>
      </c>
      <c r="G815">
        <v>0.86099999999999999</v>
      </c>
      <c r="H815" s="3">
        <v>0.90700000000000003</v>
      </c>
      <c r="I815" s="3">
        <f t="shared" si="12"/>
        <v>9.2999999999999972E-2</v>
      </c>
      <c r="J815">
        <v>60</v>
      </c>
      <c r="K815">
        <v>11</v>
      </c>
      <c r="L815">
        <v>2</v>
      </c>
    </row>
    <row r="816" spans="1:12" x14ac:dyDescent="0.2">
      <c r="A816">
        <v>29</v>
      </c>
      <c r="B816">
        <v>1182</v>
      </c>
      <c r="C816">
        <v>143</v>
      </c>
      <c r="D816">
        <v>0.91400000000000003</v>
      </c>
      <c r="E816" s="3">
        <v>7.3999999999999996E-2</v>
      </c>
      <c r="F816">
        <v>0.19600000000000001</v>
      </c>
      <c r="G816">
        <v>0.81899999999999995</v>
      </c>
      <c r="H816" s="3">
        <v>0.94099999999999995</v>
      </c>
      <c r="I816" s="3">
        <f t="shared" si="12"/>
        <v>5.9000000000000052E-2</v>
      </c>
      <c r="J816">
        <v>1</v>
      </c>
      <c r="K816">
        <v>5</v>
      </c>
      <c r="L816">
        <v>6.3</v>
      </c>
    </row>
    <row r="817" spans="1:12" x14ac:dyDescent="0.2">
      <c r="A817">
        <v>40</v>
      </c>
      <c r="B817">
        <v>1888</v>
      </c>
      <c r="C817">
        <v>149</v>
      </c>
      <c r="D817">
        <v>0.91400000000000003</v>
      </c>
      <c r="E817" s="3">
        <v>5.6000000000000001E-2</v>
      </c>
      <c r="F817">
        <v>5.3999999999999999E-2</v>
      </c>
      <c r="G817">
        <v>0.85599999999999998</v>
      </c>
      <c r="H817" s="3">
        <v>0.92100000000000004</v>
      </c>
      <c r="I817" s="3">
        <f t="shared" si="12"/>
        <v>7.8999999999999959E-2</v>
      </c>
      <c r="J817">
        <v>49</v>
      </c>
      <c r="K817">
        <v>17</v>
      </c>
      <c r="L817">
        <v>12.7</v>
      </c>
    </row>
    <row r="818" spans="1:12" x14ac:dyDescent="0.2">
      <c r="A818">
        <v>59</v>
      </c>
      <c r="B818">
        <v>2900</v>
      </c>
      <c r="C818">
        <v>185</v>
      </c>
      <c r="D818">
        <v>0.91400000000000003</v>
      </c>
      <c r="E818" s="3">
        <v>8.7999999999999995E-2</v>
      </c>
      <c r="F818">
        <v>0.13</v>
      </c>
      <c r="G818">
        <v>0.875</v>
      </c>
      <c r="H818" s="3">
        <v>0.94399999999999995</v>
      </c>
      <c r="I818" s="3">
        <f t="shared" si="12"/>
        <v>5.600000000000005E-2</v>
      </c>
      <c r="J818">
        <v>95</v>
      </c>
      <c r="K818">
        <v>16</v>
      </c>
      <c r="L818">
        <v>5.4</v>
      </c>
    </row>
    <row r="819" spans="1:12" x14ac:dyDescent="0.2">
      <c r="A819">
        <v>65</v>
      </c>
      <c r="B819">
        <v>3224</v>
      </c>
      <c r="C819">
        <v>119</v>
      </c>
      <c r="D819">
        <v>0.91400000000000003</v>
      </c>
      <c r="E819" s="3">
        <v>0.1</v>
      </c>
      <c r="F819">
        <v>9.2999999999999999E-2</v>
      </c>
      <c r="G819">
        <v>0.754</v>
      </c>
      <c r="H819" s="3">
        <v>0.96799999999999997</v>
      </c>
      <c r="I819" s="3">
        <f t="shared" si="12"/>
        <v>3.2000000000000028E-2</v>
      </c>
      <c r="J819">
        <v>17</v>
      </c>
      <c r="K819">
        <v>17</v>
      </c>
      <c r="L819">
        <v>10.5</v>
      </c>
    </row>
    <row r="820" spans="1:12" x14ac:dyDescent="0.2">
      <c r="A820">
        <v>89</v>
      </c>
      <c r="B820">
        <v>4398</v>
      </c>
      <c r="C820">
        <v>57</v>
      </c>
      <c r="D820">
        <v>0.91400000000000003</v>
      </c>
      <c r="E820" s="3">
        <v>8.2000000000000003E-2</v>
      </c>
      <c r="F820">
        <v>0.22700000000000001</v>
      </c>
      <c r="G820">
        <v>0.98299999999999998</v>
      </c>
      <c r="H820" s="3">
        <v>0.94099999999999995</v>
      </c>
      <c r="I820" s="3">
        <f t="shared" si="12"/>
        <v>5.9000000000000052E-2</v>
      </c>
      <c r="J820">
        <v>28</v>
      </c>
      <c r="K820">
        <v>6</v>
      </c>
      <c r="L820">
        <v>5.3</v>
      </c>
    </row>
    <row r="821" spans="1:12" x14ac:dyDescent="0.2">
      <c r="A821">
        <v>82</v>
      </c>
      <c r="B821">
        <v>3958</v>
      </c>
      <c r="C821">
        <v>122</v>
      </c>
      <c r="D821">
        <v>0.91500000000000004</v>
      </c>
      <c r="E821" s="3">
        <v>0.15</v>
      </c>
      <c r="F821">
        <v>0.16900000000000001</v>
      </c>
      <c r="G821">
        <v>0.72599999999999998</v>
      </c>
      <c r="H821" s="3">
        <v>0.94099999999999995</v>
      </c>
      <c r="I821" s="3">
        <f t="shared" si="12"/>
        <v>5.9000000000000052E-2</v>
      </c>
      <c r="J821">
        <v>46</v>
      </c>
      <c r="K821">
        <v>15</v>
      </c>
      <c r="L821">
        <v>12.6</v>
      </c>
    </row>
    <row r="822" spans="1:12" x14ac:dyDescent="0.2">
      <c r="A822">
        <v>22</v>
      </c>
      <c r="B822">
        <v>1039</v>
      </c>
      <c r="C822">
        <v>136</v>
      </c>
      <c r="D822">
        <v>0.91600000000000004</v>
      </c>
      <c r="E822" s="3">
        <v>0.11</v>
      </c>
      <c r="F822">
        <v>6.7000000000000004E-2</v>
      </c>
      <c r="G822">
        <v>0.80300000000000005</v>
      </c>
      <c r="H822" s="3">
        <v>0.95299999999999996</v>
      </c>
      <c r="I822" s="3">
        <f t="shared" si="12"/>
        <v>4.7000000000000042E-2</v>
      </c>
      <c r="J822">
        <v>10</v>
      </c>
      <c r="K822">
        <v>1</v>
      </c>
      <c r="L822">
        <v>6.5</v>
      </c>
    </row>
    <row r="823" spans="1:12" x14ac:dyDescent="0.2">
      <c r="A823">
        <v>42</v>
      </c>
      <c r="B823">
        <v>1979</v>
      </c>
      <c r="C823">
        <v>63</v>
      </c>
      <c r="D823">
        <v>0.91600000000000004</v>
      </c>
      <c r="E823" s="3">
        <v>7.6999999999999999E-2</v>
      </c>
      <c r="F823">
        <v>0.14199999999999999</v>
      </c>
      <c r="G823">
        <v>0.78800000000000003</v>
      </c>
      <c r="H823" s="3">
        <v>0.98899999999999999</v>
      </c>
      <c r="I823" s="3">
        <f t="shared" si="12"/>
        <v>1.100000000000001E-2</v>
      </c>
      <c r="J823">
        <v>96</v>
      </c>
      <c r="K823">
        <v>8</v>
      </c>
      <c r="L823">
        <v>2.4</v>
      </c>
    </row>
    <row r="824" spans="1:12" x14ac:dyDescent="0.2">
      <c r="A824">
        <v>70</v>
      </c>
      <c r="B824">
        <v>3319</v>
      </c>
      <c r="C824">
        <v>158</v>
      </c>
      <c r="D824">
        <v>0.91600000000000004</v>
      </c>
      <c r="E824" s="3">
        <v>0.02</v>
      </c>
      <c r="F824">
        <v>7.0000000000000007E-2</v>
      </c>
      <c r="G824">
        <v>0.72</v>
      </c>
      <c r="H824" s="3">
        <v>0.90600000000000003</v>
      </c>
      <c r="I824" s="3">
        <f t="shared" si="12"/>
        <v>9.3999999999999972E-2</v>
      </c>
      <c r="J824">
        <v>88</v>
      </c>
      <c r="K824">
        <v>6</v>
      </c>
      <c r="L824">
        <v>7.6</v>
      </c>
    </row>
    <row r="825" spans="1:12" x14ac:dyDescent="0.2">
      <c r="A825">
        <v>26</v>
      </c>
      <c r="B825">
        <v>1180</v>
      </c>
      <c r="C825">
        <v>96</v>
      </c>
      <c r="D825">
        <v>0.91700000000000004</v>
      </c>
      <c r="E825" s="3">
        <v>2.4E-2</v>
      </c>
      <c r="F825">
        <v>7.1999999999999995E-2</v>
      </c>
      <c r="G825">
        <v>0.71399999999999997</v>
      </c>
      <c r="H825" s="3">
        <v>0.95099999999999996</v>
      </c>
      <c r="I825" s="3">
        <f t="shared" si="12"/>
        <v>4.9000000000000044E-2</v>
      </c>
      <c r="J825">
        <v>19</v>
      </c>
      <c r="K825">
        <v>16</v>
      </c>
      <c r="L825">
        <v>9.6</v>
      </c>
    </row>
    <row r="826" spans="1:12" x14ac:dyDescent="0.2">
      <c r="A826">
        <v>87</v>
      </c>
      <c r="B826">
        <v>4313</v>
      </c>
      <c r="C826">
        <v>79</v>
      </c>
      <c r="D826">
        <v>0.91700000000000004</v>
      </c>
      <c r="E826" s="3">
        <v>0.17299999999999999</v>
      </c>
      <c r="F826">
        <v>0.126</v>
      </c>
      <c r="G826">
        <v>0.84099999999999997</v>
      </c>
      <c r="H826" s="3">
        <v>0.96099999999999997</v>
      </c>
      <c r="I826" s="3">
        <f t="shared" si="12"/>
        <v>3.9000000000000035E-2</v>
      </c>
      <c r="J826">
        <v>62</v>
      </c>
      <c r="K826">
        <v>16</v>
      </c>
      <c r="L826">
        <v>14.6</v>
      </c>
    </row>
    <row r="827" spans="1:12" x14ac:dyDescent="0.2">
      <c r="A827">
        <v>97</v>
      </c>
      <c r="B827">
        <v>4709</v>
      </c>
      <c r="C827">
        <v>100</v>
      </c>
      <c r="D827">
        <v>0.91700000000000004</v>
      </c>
      <c r="E827" s="3">
        <v>2.5999999999999999E-2</v>
      </c>
      <c r="F827">
        <v>9.2999999999999999E-2</v>
      </c>
      <c r="G827">
        <v>0.92300000000000004</v>
      </c>
      <c r="H827" s="3">
        <v>0.97199999999999998</v>
      </c>
      <c r="I827" s="3">
        <f t="shared" si="12"/>
        <v>2.8000000000000025E-2</v>
      </c>
      <c r="J827">
        <v>93</v>
      </c>
      <c r="K827">
        <v>15</v>
      </c>
      <c r="L827">
        <v>13.6</v>
      </c>
    </row>
    <row r="828" spans="1:12" x14ac:dyDescent="0.2">
      <c r="A828">
        <v>43</v>
      </c>
      <c r="B828">
        <v>1909</v>
      </c>
      <c r="C828">
        <v>165</v>
      </c>
      <c r="D828">
        <v>0.91800000000000004</v>
      </c>
      <c r="E828" s="3">
        <v>0.129</v>
      </c>
      <c r="F828">
        <v>0.16400000000000001</v>
      </c>
      <c r="G828">
        <v>0.72099999999999997</v>
      </c>
      <c r="H828" s="3">
        <v>0.90500000000000003</v>
      </c>
      <c r="I828" s="3">
        <f t="shared" si="12"/>
        <v>9.4999999999999973E-2</v>
      </c>
      <c r="J828">
        <v>47</v>
      </c>
      <c r="K828">
        <v>16</v>
      </c>
      <c r="L828">
        <v>13.7</v>
      </c>
    </row>
    <row r="829" spans="1:12" x14ac:dyDescent="0.2">
      <c r="A829">
        <v>79</v>
      </c>
      <c r="B829">
        <v>3743</v>
      </c>
      <c r="C829">
        <v>95</v>
      </c>
      <c r="D829">
        <v>0.91800000000000004</v>
      </c>
      <c r="E829" s="3">
        <v>0.107</v>
      </c>
      <c r="F829">
        <v>6.3E-2</v>
      </c>
      <c r="G829">
        <v>0.86599999999999999</v>
      </c>
      <c r="H829" s="3">
        <v>0.94599999999999995</v>
      </c>
      <c r="I829" s="3">
        <f t="shared" si="12"/>
        <v>5.4000000000000048E-2</v>
      </c>
      <c r="J829">
        <v>16</v>
      </c>
      <c r="K829">
        <v>3</v>
      </c>
      <c r="L829">
        <v>1.1000000000000001</v>
      </c>
    </row>
    <row r="830" spans="1:12" x14ac:dyDescent="0.2">
      <c r="A830">
        <v>24</v>
      </c>
      <c r="B830">
        <v>1125</v>
      </c>
      <c r="C830">
        <v>36</v>
      </c>
      <c r="D830">
        <v>0.91900000000000004</v>
      </c>
      <c r="E830" s="3">
        <v>0.183</v>
      </c>
      <c r="F830">
        <v>0.11799999999999999</v>
      </c>
      <c r="G830">
        <v>0.76400000000000001</v>
      </c>
      <c r="H830" s="3">
        <v>0.998</v>
      </c>
      <c r="I830" s="3">
        <f t="shared" si="12"/>
        <v>2.0000000000000018E-3</v>
      </c>
      <c r="J830">
        <v>76</v>
      </c>
      <c r="K830">
        <v>6</v>
      </c>
      <c r="L830">
        <v>14.8</v>
      </c>
    </row>
    <row r="831" spans="1:12" x14ac:dyDescent="0.2">
      <c r="A831">
        <v>34</v>
      </c>
      <c r="B831">
        <v>1667</v>
      </c>
      <c r="C831">
        <v>65</v>
      </c>
      <c r="D831">
        <v>0.91900000000000004</v>
      </c>
      <c r="E831" s="3">
        <v>0.115</v>
      </c>
      <c r="F831">
        <v>8.5999999999999993E-2</v>
      </c>
      <c r="G831">
        <v>0.94399999999999995</v>
      </c>
      <c r="H831" s="3">
        <v>0.94299999999999995</v>
      </c>
      <c r="I831" s="3">
        <f t="shared" si="12"/>
        <v>5.7000000000000051E-2</v>
      </c>
      <c r="J831">
        <v>34</v>
      </c>
      <c r="K831">
        <v>0</v>
      </c>
      <c r="L831">
        <v>3.1</v>
      </c>
    </row>
    <row r="832" spans="1:12" x14ac:dyDescent="0.2">
      <c r="A832">
        <v>57</v>
      </c>
      <c r="B832">
        <v>2610</v>
      </c>
      <c r="C832">
        <v>191</v>
      </c>
      <c r="D832">
        <v>0.91900000000000004</v>
      </c>
      <c r="E832" s="3">
        <v>3.1E-2</v>
      </c>
      <c r="F832">
        <v>0.192</v>
      </c>
      <c r="G832">
        <v>0.73299999999999998</v>
      </c>
      <c r="H832" s="3">
        <v>0.91600000000000004</v>
      </c>
      <c r="I832" s="3">
        <f t="shared" si="12"/>
        <v>8.3999999999999964E-2</v>
      </c>
      <c r="J832">
        <v>50</v>
      </c>
      <c r="K832">
        <v>18</v>
      </c>
      <c r="L832">
        <v>13.2</v>
      </c>
    </row>
    <row r="833" spans="1:12" x14ac:dyDescent="0.2">
      <c r="A833">
        <v>99</v>
      </c>
      <c r="B833">
        <v>4839</v>
      </c>
      <c r="C833">
        <v>56</v>
      </c>
      <c r="D833">
        <v>0.91900000000000004</v>
      </c>
      <c r="E833" s="3">
        <v>9.2999999999999999E-2</v>
      </c>
      <c r="F833">
        <v>0.16800000000000001</v>
      </c>
      <c r="G833">
        <v>0.93300000000000005</v>
      </c>
      <c r="H833" s="3">
        <v>0.93300000000000005</v>
      </c>
      <c r="I833" s="3">
        <f t="shared" si="12"/>
        <v>6.6999999999999948E-2</v>
      </c>
      <c r="J833">
        <v>68</v>
      </c>
      <c r="K833">
        <v>1</v>
      </c>
      <c r="L833">
        <v>11.3</v>
      </c>
    </row>
    <row r="834" spans="1:12" x14ac:dyDescent="0.2">
      <c r="A834">
        <v>33</v>
      </c>
      <c r="B834">
        <v>1515</v>
      </c>
      <c r="C834">
        <v>45</v>
      </c>
      <c r="D834">
        <v>0.92</v>
      </c>
      <c r="E834" s="3">
        <v>0.126</v>
      </c>
      <c r="F834">
        <v>0.251</v>
      </c>
      <c r="G834">
        <v>0.877</v>
      </c>
      <c r="H834" s="3">
        <v>0.95</v>
      </c>
      <c r="I834" s="3">
        <f t="shared" si="12"/>
        <v>5.0000000000000044E-2</v>
      </c>
      <c r="J834">
        <v>76</v>
      </c>
      <c r="K834">
        <v>11</v>
      </c>
      <c r="L834">
        <v>1.7</v>
      </c>
    </row>
    <row r="835" spans="1:12" x14ac:dyDescent="0.2">
      <c r="A835">
        <v>70</v>
      </c>
      <c r="B835">
        <v>3311</v>
      </c>
      <c r="C835">
        <v>88</v>
      </c>
      <c r="D835">
        <v>0.92</v>
      </c>
      <c r="E835" s="3">
        <v>0.17899999999999999</v>
      </c>
      <c r="F835">
        <v>0.28199999999999997</v>
      </c>
      <c r="G835">
        <v>0.94899999999999995</v>
      </c>
      <c r="H835" s="3">
        <v>0.99</v>
      </c>
      <c r="I835" s="3">
        <f t="shared" ref="I835:I898" si="13">1-H835</f>
        <v>1.0000000000000009E-2</v>
      </c>
      <c r="J835">
        <v>72</v>
      </c>
      <c r="K835">
        <v>19</v>
      </c>
      <c r="L835">
        <v>12.5</v>
      </c>
    </row>
    <row r="836" spans="1:12" x14ac:dyDescent="0.2">
      <c r="A836">
        <v>68</v>
      </c>
      <c r="B836">
        <v>3358</v>
      </c>
      <c r="C836">
        <v>134</v>
      </c>
      <c r="D836">
        <v>0.92</v>
      </c>
      <c r="E836" s="3">
        <v>2.7E-2</v>
      </c>
      <c r="F836">
        <v>0.21299999999999999</v>
      </c>
      <c r="G836">
        <v>0.90100000000000002</v>
      </c>
      <c r="H836" s="3">
        <v>0.91800000000000004</v>
      </c>
      <c r="I836" s="3">
        <f t="shared" si="13"/>
        <v>8.1999999999999962E-2</v>
      </c>
      <c r="J836">
        <v>86</v>
      </c>
      <c r="K836">
        <v>1</v>
      </c>
      <c r="L836">
        <v>11</v>
      </c>
    </row>
    <row r="837" spans="1:12" x14ac:dyDescent="0.2">
      <c r="A837">
        <v>81</v>
      </c>
      <c r="B837">
        <v>3784</v>
      </c>
      <c r="C837">
        <v>11</v>
      </c>
      <c r="D837">
        <v>0.92</v>
      </c>
      <c r="E837" s="3">
        <v>0.01</v>
      </c>
      <c r="F837">
        <v>0.20699999999999999</v>
      </c>
      <c r="G837">
        <v>0.91400000000000003</v>
      </c>
      <c r="H837" s="3">
        <v>0.93400000000000005</v>
      </c>
      <c r="I837" s="3">
        <f t="shared" si="13"/>
        <v>6.5999999999999948E-2</v>
      </c>
      <c r="J837">
        <v>91</v>
      </c>
      <c r="K837">
        <v>15</v>
      </c>
      <c r="L837">
        <v>14.5</v>
      </c>
    </row>
    <row r="838" spans="1:12" x14ac:dyDescent="0.2">
      <c r="A838">
        <v>51</v>
      </c>
      <c r="B838">
        <v>2378</v>
      </c>
      <c r="C838">
        <v>171</v>
      </c>
      <c r="D838">
        <v>0.92100000000000004</v>
      </c>
      <c r="E838" s="3">
        <v>4.4999999999999998E-2</v>
      </c>
      <c r="F838">
        <v>0.184</v>
      </c>
      <c r="G838">
        <v>0.97</v>
      </c>
      <c r="H838" s="3">
        <v>0.995</v>
      </c>
      <c r="I838" s="3">
        <f t="shared" si="13"/>
        <v>5.0000000000000044E-3</v>
      </c>
      <c r="J838">
        <v>15</v>
      </c>
      <c r="K838">
        <v>16</v>
      </c>
      <c r="L838">
        <v>5.2</v>
      </c>
    </row>
    <row r="839" spans="1:12" x14ac:dyDescent="0.2">
      <c r="A839">
        <v>55</v>
      </c>
      <c r="B839">
        <v>2572</v>
      </c>
      <c r="C839">
        <v>54</v>
      </c>
      <c r="D839">
        <v>0.92100000000000004</v>
      </c>
      <c r="E839" s="3">
        <v>0.13300000000000001</v>
      </c>
      <c r="F839">
        <v>0.254</v>
      </c>
      <c r="G839">
        <v>0.84799999999999998</v>
      </c>
      <c r="H839" s="3">
        <v>0.92</v>
      </c>
      <c r="I839" s="3">
        <f t="shared" si="13"/>
        <v>7.999999999999996E-2</v>
      </c>
      <c r="J839">
        <v>15</v>
      </c>
      <c r="K839">
        <v>15</v>
      </c>
      <c r="L839">
        <v>6</v>
      </c>
    </row>
    <row r="840" spans="1:12" x14ac:dyDescent="0.2">
      <c r="A840">
        <v>86</v>
      </c>
      <c r="B840">
        <v>4084</v>
      </c>
      <c r="C840">
        <v>38</v>
      </c>
      <c r="D840">
        <v>0.92100000000000004</v>
      </c>
      <c r="E840" s="3">
        <v>0.11</v>
      </c>
      <c r="F840">
        <v>0.11600000000000001</v>
      </c>
      <c r="G840">
        <v>0.84299999999999997</v>
      </c>
      <c r="H840" s="3">
        <v>0.94</v>
      </c>
      <c r="I840" s="3">
        <f t="shared" si="13"/>
        <v>6.0000000000000053E-2</v>
      </c>
      <c r="J840">
        <v>29</v>
      </c>
      <c r="K840">
        <v>1</v>
      </c>
      <c r="L840">
        <v>12.9</v>
      </c>
    </row>
    <row r="841" spans="1:12" x14ac:dyDescent="0.2">
      <c r="A841">
        <v>91</v>
      </c>
      <c r="B841">
        <v>4441</v>
      </c>
      <c r="C841">
        <v>62</v>
      </c>
      <c r="D841">
        <v>0.92100000000000004</v>
      </c>
      <c r="E841" s="3">
        <v>0.16600000000000001</v>
      </c>
      <c r="F841">
        <v>0.19500000000000001</v>
      </c>
      <c r="G841">
        <v>0.97</v>
      </c>
      <c r="H841" s="3">
        <v>0.99299999999999999</v>
      </c>
      <c r="I841" s="3">
        <f t="shared" si="13"/>
        <v>7.0000000000000062E-3</v>
      </c>
      <c r="J841">
        <v>20</v>
      </c>
      <c r="K841">
        <v>15</v>
      </c>
      <c r="L841">
        <v>14.2</v>
      </c>
    </row>
    <row r="842" spans="1:12" x14ac:dyDescent="0.2">
      <c r="A842">
        <v>24</v>
      </c>
      <c r="B842">
        <v>1164</v>
      </c>
      <c r="C842">
        <v>52</v>
      </c>
      <c r="D842">
        <v>0.92200000000000004</v>
      </c>
      <c r="E842" s="3">
        <v>0.08</v>
      </c>
      <c r="F842">
        <v>0.108</v>
      </c>
      <c r="G842">
        <v>0.92900000000000005</v>
      </c>
      <c r="H842" s="3">
        <v>0.90700000000000003</v>
      </c>
      <c r="I842" s="3">
        <f t="shared" si="13"/>
        <v>9.2999999999999972E-2</v>
      </c>
      <c r="J842">
        <v>64</v>
      </c>
      <c r="K842">
        <v>16</v>
      </c>
      <c r="L842">
        <v>2.7</v>
      </c>
    </row>
    <row r="843" spans="1:12" x14ac:dyDescent="0.2">
      <c r="A843">
        <v>38</v>
      </c>
      <c r="B843">
        <v>1631</v>
      </c>
      <c r="C843">
        <v>170</v>
      </c>
      <c r="D843">
        <v>0.92200000000000004</v>
      </c>
      <c r="E843" s="3">
        <v>2.5000000000000001E-2</v>
      </c>
      <c r="F843">
        <v>0.111</v>
      </c>
      <c r="G843">
        <v>0.96</v>
      </c>
      <c r="H843" s="3">
        <v>0.98399999999999999</v>
      </c>
      <c r="I843" s="3">
        <f t="shared" si="13"/>
        <v>1.6000000000000014E-2</v>
      </c>
      <c r="J843">
        <v>52</v>
      </c>
      <c r="K843">
        <v>15</v>
      </c>
      <c r="L843">
        <v>8.9</v>
      </c>
    </row>
    <row r="844" spans="1:12" x14ac:dyDescent="0.2">
      <c r="A844">
        <v>41</v>
      </c>
      <c r="B844">
        <v>1869</v>
      </c>
      <c r="C844">
        <v>147</v>
      </c>
      <c r="D844">
        <v>0.92200000000000004</v>
      </c>
      <c r="E844" s="3">
        <v>4.1000000000000002E-2</v>
      </c>
      <c r="F844">
        <v>0.25600000000000001</v>
      </c>
      <c r="G844">
        <v>0.84199999999999997</v>
      </c>
      <c r="H844" s="3">
        <v>0.94599999999999995</v>
      </c>
      <c r="I844" s="3">
        <f t="shared" si="13"/>
        <v>5.4000000000000048E-2</v>
      </c>
      <c r="J844">
        <v>64</v>
      </c>
      <c r="K844">
        <v>14</v>
      </c>
      <c r="L844">
        <v>5.8</v>
      </c>
    </row>
    <row r="845" spans="1:12" x14ac:dyDescent="0.2">
      <c r="A845">
        <v>49</v>
      </c>
      <c r="B845">
        <v>2283</v>
      </c>
      <c r="C845">
        <v>38</v>
      </c>
      <c r="D845">
        <v>0.92200000000000004</v>
      </c>
      <c r="E845" s="3">
        <v>9.5000000000000001E-2</v>
      </c>
      <c r="F845">
        <v>0.19900000000000001</v>
      </c>
      <c r="G845">
        <v>0.90500000000000003</v>
      </c>
      <c r="H845" s="3">
        <v>0.94599999999999995</v>
      </c>
      <c r="I845" s="3">
        <f t="shared" si="13"/>
        <v>5.4000000000000048E-2</v>
      </c>
      <c r="J845">
        <v>12</v>
      </c>
      <c r="K845">
        <v>3</v>
      </c>
      <c r="L845">
        <v>3.4</v>
      </c>
    </row>
    <row r="846" spans="1:12" x14ac:dyDescent="0.2">
      <c r="A846">
        <v>66</v>
      </c>
      <c r="B846">
        <v>3172</v>
      </c>
      <c r="C846">
        <v>148</v>
      </c>
      <c r="D846">
        <v>0.92200000000000004</v>
      </c>
      <c r="E846" s="3">
        <v>0.17100000000000001</v>
      </c>
      <c r="F846">
        <v>0.26700000000000002</v>
      </c>
      <c r="G846">
        <v>0.73699999999999999</v>
      </c>
      <c r="H846" s="3">
        <v>0.91900000000000004</v>
      </c>
      <c r="I846" s="3">
        <f t="shared" si="13"/>
        <v>8.0999999999999961E-2</v>
      </c>
      <c r="J846">
        <v>26</v>
      </c>
      <c r="K846">
        <v>7</v>
      </c>
      <c r="L846">
        <v>13.7</v>
      </c>
    </row>
    <row r="847" spans="1:12" x14ac:dyDescent="0.2">
      <c r="A847">
        <v>71</v>
      </c>
      <c r="B847">
        <v>3490</v>
      </c>
      <c r="C847">
        <v>180</v>
      </c>
      <c r="D847">
        <v>0.92200000000000004</v>
      </c>
      <c r="E847" s="3">
        <v>6.5000000000000002E-2</v>
      </c>
      <c r="F847">
        <v>7.6999999999999999E-2</v>
      </c>
      <c r="G847">
        <v>0.79200000000000004</v>
      </c>
      <c r="H847" s="3">
        <v>0.90100000000000002</v>
      </c>
      <c r="I847" s="3">
        <f t="shared" si="13"/>
        <v>9.8999999999999977E-2</v>
      </c>
      <c r="J847">
        <v>60</v>
      </c>
      <c r="K847">
        <v>6</v>
      </c>
      <c r="L847">
        <v>4.7</v>
      </c>
    </row>
    <row r="848" spans="1:12" x14ac:dyDescent="0.2">
      <c r="A848">
        <v>102</v>
      </c>
      <c r="B848">
        <v>4988</v>
      </c>
      <c r="C848">
        <v>66</v>
      </c>
      <c r="D848">
        <v>0.92200000000000004</v>
      </c>
      <c r="E848" s="3">
        <v>0.14699999999999999</v>
      </c>
      <c r="F848">
        <v>7.4999999999999997E-2</v>
      </c>
      <c r="G848">
        <v>0.93</v>
      </c>
      <c r="H848" s="3">
        <v>0.94099999999999995</v>
      </c>
      <c r="I848" s="3">
        <f t="shared" si="13"/>
        <v>5.9000000000000052E-2</v>
      </c>
      <c r="J848">
        <v>3</v>
      </c>
      <c r="K848">
        <v>12</v>
      </c>
      <c r="L848">
        <v>8.3000000000000007</v>
      </c>
    </row>
    <row r="849" spans="1:12" x14ac:dyDescent="0.2">
      <c r="A849">
        <v>42</v>
      </c>
      <c r="B849">
        <v>1989</v>
      </c>
      <c r="C849">
        <v>47</v>
      </c>
      <c r="D849">
        <v>0.92300000000000004</v>
      </c>
      <c r="E849" s="3">
        <v>9.1999999999999998E-2</v>
      </c>
      <c r="F849">
        <v>0.14599999999999999</v>
      </c>
      <c r="G849">
        <v>0.71199999999999997</v>
      </c>
      <c r="H849" s="3">
        <v>0.90400000000000003</v>
      </c>
      <c r="I849" s="3">
        <f t="shared" si="13"/>
        <v>9.5999999999999974E-2</v>
      </c>
      <c r="J849">
        <v>34</v>
      </c>
      <c r="K849">
        <v>13</v>
      </c>
      <c r="L849">
        <v>7</v>
      </c>
    </row>
    <row r="850" spans="1:12" x14ac:dyDescent="0.2">
      <c r="A850">
        <v>53</v>
      </c>
      <c r="B850">
        <v>2439</v>
      </c>
      <c r="C850">
        <v>192</v>
      </c>
      <c r="D850">
        <v>0.92300000000000004</v>
      </c>
      <c r="E850" s="3">
        <v>0.1</v>
      </c>
      <c r="F850">
        <v>0.10100000000000001</v>
      </c>
      <c r="G850">
        <v>0.79300000000000004</v>
      </c>
      <c r="H850" s="3">
        <v>0.90700000000000003</v>
      </c>
      <c r="I850" s="3">
        <f t="shared" si="13"/>
        <v>9.2999999999999972E-2</v>
      </c>
      <c r="J850">
        <v>72</v>
      </c>
      <c r="K850">
        <v>13</v>
      </c>
      <c r="L850">
        <v>4.4000000000000004</v>
      </c>
    </row>
    <row r="851" spans="1:12" x14ac:dyDescent="0.2">
      <c r="A851">
        <v>55</v>
      </c>
      <c r="B851">
        <v>2680</v>
      </c>
      <c r="C851">
        <v>130</v>
      </c>
      <c r="D851">
        <v>0.92300000000000004</v>
      </c>
      <c r="E851" s="3">
        <v>5.5E-2</v>
      </c>
      <c r="F851">
        <v>0.25700000000000001</v>
      </c>
      <c r="G851">
        <v>0.79900000000000004</v>
      </c>
      <c r="H851" s="3">
        <v>0.98799999999999999</v>
      </c>
      <c r="I851" s="3">
        <f t="shared" si="13"/>
        <v>1.2000000000000011E-2</v>
      </c>
      <c r="J851">
        <v>46</v>
      </c>
      <c r="K851">
        <v>10</v>
      </c>
      <c r="L851">
        <v>3.7</v>
      </c>
    </row>
    <row r="852" spans="1:12" x14ac:dyDescent="0.2">
      <c r="A852">
        <v>93</v>
      </c>
      <c r="B852">
        <v>4499</v>
      </c>
      <c r="C852">
        <v>149</v>
      </c>
      <c r="D852">
        <v>0.92300000000000004</v>
      </c>
      <c r="E852" s="3">
        <v>0.17899999999999999</v>
      </c>
      <c r="F852">
        <v>0.18099999999999999</v>
      </c>
      <c r="G852">
        <v>0.92900000000000005</v>
      </c>
      <c r="H852" s="3">
        <v>0.94099999999999995</v>
      </c>
      <c r="I852" s="3">
        <f t="shared" si="13"/>
        <v>5.9000000000000052E-2</v>
      </c>
      <c r="J852">
        <v>55</v>
      </c>
      <c r="K852">
        <v>13</v>
      </c>
      <c r="L852">
        <v>3.2</v>
      </c>
    </row>
    <row r="853" spans="1:12" x14ac:dyDescent="0.2">
      <c r="A853">
        <v>26</v>
      </c>
      <c r="B853">
        <v>1115</v>
      </c>
      <c r="C853">
        <v>167</v>
      </c>
      <c r="D853">
        <v>0.92400000000000004</v>
      </c>
      <c r="E853" s="3">
        <v>5.0999999999999997E-2</v>
      </c>
      <c r="F853">
        <v>5.5E-2</v>
      </c>
      <c r="G853">
        <v>0.72199999999999998</v>
      </c>
      <c r="H853" s="3">
        <v>0.92</v>
      </c>
      <c r="I853" s="3">
        <f t="shared" si="13"/>
        <v>7.999999999999996E-2</v>
      </c>
      <c r="J853">
        <v>55</v>
      </c>
      <c r="K853">
        <v>15</v>
      </c>
      <c r="L853">
        <v>5</v>
      </c>
    </row>
    <row r="854" spans="1:12" x14ac:dyDescent="0.2">
      <c r="A854">
        <v>62</v>
      </c>
      <c r="B854">
        <v>2970</v>
      </c>
      <c r="C854">
        <v>75</v>
      </c>
      <c r="D854">
        <v>0.92400000000000004</v>
      </c>
      <c r="E854" s="3">
        <v>0.19800000000000001</v>
      </c>
      <c r="F854">
        <v>0.128</v>
      </c>
      <c r="G854">
        <v>0.78300000000000003</v>
      </c>
      <c r="H854" s="3">
        <v>0.91900000000000004</v>
      </c>
      <c r="I854" s="3">
        <f t="shared" si="13"/>
        <v>8.0999999999999961E-2</v>
      </c>
      <c r="J854">
        <v>81</v>
      </c>
      <c r="K854">
        <v>11</v>
      </c>
      <c r="L854">
        <v>3.9</v>
      </c>
    </row>
    <row r="855" spans="1:12" x14ac:dyDescent="0.2">
      <c r="A855">
        <v>86</v>
      </c>
      <c r="B855">
        <v>4259</v>
      </c>
      <c r="C855">
        <v>145</v>
      </c>
      <c r="D855">
        <v>0.92400000000000004</v>
      </c>
      <c r="E855" s="3">
        <v>0.156</v>
      </c>
      <c r="F855">
        <v>0.26900000000000002</v>
      </c>
      <c r="G855">
        <v>0.77700000000000002</v>
      </c>
      <c r="H855" s="3">
        <v>0.93700000000000006</v>
      </c>
      <c r="I855" s="3">
        <f t="shared" si="13"/>
        <v>6.2999999999999945E-2</v>
      </c>
      <c r="J855">
        <v>13</v>
      </c>
      <c r="K855">
        <v>3</v>
      </c>
      <c r="L855">
        <v>3</v>
      </c>
    </row>
    <row r="856" spans="1:12" x14ac:dyDescent="0.2">
      <c r="A856">
        <v>25</v>
      </c>
      <c r="B856">
        <v>1153</v>
      </c>
      <c r="C856">
        <v>193</v>
      </c>
      <c r="D856">
        <v>0.92500000000000004</v>
      </c>
      <c r="E856" s="3">
        <v>5.0999999999999997E-2</v>
      </c>
      <c r="F856">
        <v>0.158</v>
      </c>
      <c r="G856">
        <v>0.77800000000000002</v>
      </c>
      <c r="H856" s="3">
        <v>0.96899999999999997</v>
      </c>
      <c r="I856" s="3">
        <f t="shared" si="13"/>
        <v>3.1000000000000028E-2</v>
      </c>
      <c r="J856">
        <v>3</v>
      </c>
      <c r="K856">
        <v>12</v>
      </c>
      <c r="L856">
        <v>2.8</v>
      </c>
    </row>
    <row r="857" spans="1:12" x14ac:dyDescent="0.2">
      <c r="A857">
        <v>54</v>
      </c>
      <c r="B857">
        <v>2590</v>
      </c>
      <c r="C857">
        <v>25</v>
      </c>
      <c r="D857">
        <v>0.92500000000000004</v>
      </c>
      <c r="E857" s="3">
        <v>6.7000000000000004E-2</v>
      </c>
      <c r="F857">
        <v>0.13400000000000001</v>
      </c>
      <c r="G857">
        <v>0.70099999999999996</v>
      </c>
      <c r="H857" s="3">
        <v>0.94899999999999995</v>
      </c>
      <c r="I857" s="3">
        <f t="shared" si="13"/>
        <v>5.1000000000000045E-2</v>
      </c>
      <c r="J857">
        <v>53</v>
      </c>
      <c r="K857">
        <v>3</v>
      </c>
      <c r="L857">
        <v>10.9</v>
      </c>
    </row>
    <row r="858" spans="1:12" x14ac:dyDescent="0.2">
      <c r="A858">
        <v>64</v>
      </c>
      <c r="B858">
        <v>2960</v>
      </c>
      <c r="C858">
        <v>106</v>
      </c>
      <c r="D858">
        <v>0.92500000000000004</v>
      </c>
      <c r="E858" s="3">
        <v>0.02</v>
      </c>
      <c r="F858">
        <v>0.156</v>
      </c>
      <c r="G858">
        <v>0.72199999999999998</v>
      </c>
      <c r="H858" s="3">
        <v>0.99199999999999999</v>
      </c>
      <c r="I858" s="3">
        <f t="shared" si="13"/>
        <v>8.0000000000000071E-3</v>
      </c>
      <c r="J858">
        <v>7</v>
      </c>
      <c r="K858">
        <v>10</v>
      </c>
      <c r="L858">
        <v>5.8</v>
      </c>
    </row>
    <row r="859" spans="1:12" x14ac:dyDescent="0.2">
      <c r="A859">
        <v>82</v>
      </c>
      <c r="B859">
        <v>3987</v>
      </c>
      <c r="C859">
        <v>138</v>
      </c>
      <c r="D859">
        <v>0.92500000000000004</v>
      </c>
      <c r="E859" s="3">
        <v>0.19600000000000001</v>
      </c>
      <c r="F859">
        <v>0.21099999999999999</v>
      </c>
      <c r="G859">
        <v>0.75600000000000001</v>
      </c>
      <c r="H859" s="3">
        <v>0.92</v>
      </c>
      <c r="I859" s="3">
        <f t="shared" si="13"/>
        <v>7.999999999999996E-2</v>
      </c>
      <c r="J859">
        <v>30</v>
      </c>
      <c r="K859">
        <v>17</v>
      </c>
      <c r="L859">
        <v>5.5</v>
      </c>
    </row>
    <row r="860" spans="1:12" x14ac:dyDescent="0.2">
      <c r="A860">
        <v>101</v>
      </c>
      <c r="B860">
        <v>4842</v>
      </c>
      <c r="C860">
        <v>162</v>
      </c>
      <c r="D860">
        <v>0.92500000000000004</v>
      </c>
      <c r="E860" s="3">
        <v>0.17899999999999999</v>
      </c>
      <c r="F860">
        <v>0.19700000000000001</v>
      </c>
      <c r="G860">
        <v>0.88400000000000001</v>
      </c>
      <c r="H860" s="3">
        <v>0.91900000000000004</v>
      </c>
      <c r="I860" s="3">
        <f t="shared" si="13"/>
        <v>8.0999999999999961E-2</v>
      </c>
      <c r="J860">
        <v>39</v>
      </c>
      <c r="K860">
        <v>3</v>
      </c>
      <c r="L860">
        <v>11.1</v>
      </c>
    </row>
    <row r="861" spans="1:12" x14ac:dyDescent="0.2">
      <c r="A861">
        <v>64</v>
      </c>
      <c r="B861">
        <v>2950</v>
      </c>
      <c r="C861">
        <v>148</v>
      </c>
      <c r="D861">
        <v>0.92600000000000005</v>
      </c>
      <c r="E861" s="3">
        <v>0.02</v>
      </c>
      <c r="F861">
        <v>0.09</v>
      </c>
      <c r="G861">
        <v>0.83699999999999997</v>
      </c>
      <c r="H861" s="3">
        <v>0.90600000000000003</v>
      </c>
      <c r="I861" s="3">
        <f t="shared" si="13"/>
        <v>9.3999999999999972E-2</v>
      </c>
      <c r="J861">
        <v>67</v>
      </c>
      <c r="K861">
        <v>4</v>
      </c>
      <c r="L861">
        <v>10.1</v>
      </c>
    </row>
    <row r="862" spans="1:12" x14ac:dyDescent="0.2">
      <c r="A862">
        <v>53</v>
      </c>
      <c r="B862">
        <v>2522</v>
      </c>
      <c r="C862">
        <v>87</v>
      </c>
      <c r="D862">
        <v>0.92700000000000005</v>
      </c>
      <c r="E862" s="3">
        <v>0.03</v>
      </c>
      <c r="F862">
        <v>0.22600000000000001</v>
      </c>
      <c r="G862">
        <v>0.79600000000000004</v>
      </c>
      <c r="H862" s="3">
        <v>0.96399999999999997</v>
      </c>
      <c r="I862" s="3">
        <f t="shared" si="13"/>
        <v>3.6000000000000032E-2</v>
      </c>
      <c r="J862">
        <v>24</v>
      </c>
      <c r="K862">
        <v>5</v>
      </c>
      <c r="L862">
        <v>10.9</v>
      </c>
    </row>
    <row r="863" spans="1:12" x14ac:dyDescent="0.2">
      <c r="A863">
        <v>97</v>
      </c>
      <c r="B863">
        <v>4667</v>
      </c>
      <c r="C863">
        <v>148</v>
      </c>
      <c r="D863">
        <v>0.92700000000000005</v>
      </c>
      <c r="E863" s="3">
        <v>7.4999999999999997E-2</v>
      </c>
      <c r="F863">
        <v>0.25700000000000001</v>
      </c>
      <c r="G863">
        <v>0.81699999999999995</v>
      </c>
      <c r="H863" s="3">
        <v>0.92200000000000004</v>
      </c>
      <c r="I863" s="3">
        <f t="shared" si="13"/>
        <v>7.7999999999999958E-2</v>
      </c>
      <c r="J863">
        <v>22</v>
      </c>
      <c r="K863">
        <v>12</v>
      </c>
      <c r="L863">
        <v>2.8</v>
      </c>
    </row>
    <row r="864" spans="1:12" x14ac:dyDescent="0.2">
      <c r="A864">
        <v>24</v>
      </c>
      <c r="B864">
        <v>1024</v>
      </c>
      <c r="C864">
        <v>167</v>
      </c>
      <c r="D864">
        <v>0.92800000000000005</v>
      </c>
      <c r="E864" s="3">
        <v>6.9000000000000006E-2</v>
      </c>
      <c r="F864">
        <v>0.14000000000000001</v>
      </c>
      <c r="G864">
        <v>0.89600000000000002</v>
      </c>
      <c r="H864" s="3">
        <v>0.95599999999999996</v>
      </c>
      <c r="I864" s="3">
        <f t="shared" si="13"/>
        <v>4.4000000000000039E-2</v>
      </c>
      <c r="J864">
        <v>92</v>
      </c>
      <c r="K864">
        <v>4</v>
      </c>
      <c r="L864">
        <v>13.9</v>
      </c>
    </row>
    <row r="865" spans="1:12" x14ac:dyDescent="0.2">
      <c r="A865">
        <v>61</v>
      </c>
      <c r="B865">
        <v>2787</v>
      </c>
      <c r="C865">
        <v>74</v>
      </c>
      <c r="D865">
        <v>0.92800000000000005</v>
      </c>
      <c r="E865" s="3">
        <v>8.1000000000000003E-2</v>
      </c>
      <c r="F865">
        <v>0.11899999999999999</v>
      </c>
      <c r="G865">
        <v>0.71799999999999997</v>
      </c>
      <c r="H865" s="3">
        <v>0.97</v>
      </c>
      <c r="I865" s="3">
        <f t="shared" si="13"/>
        <v>3.0000000000000027E-2</v>
      </c>
      <c r="J865">
        <v>60</v>
      </c>
      <c r="K865">
        <v>10</v>
      </c>
      <c r="L865">
        <v>7.6</v>
      </c>
    </row>
    <row r="866" spans="1:12" x14ac:dyDescent="0.2">
      <c r="A866">
        <v>68</v>
      </c>
      <c r="B866">
        <v>3368</v>
      </c>
      <c r="C866">
        <v>136</v>
      </c>
      <c r="D866">
        <v>0.92900000000000005</v>
      </c>
      <c r="E866" s="3">
        <v>0.186</v>
      </c>
      <c r="F866">
        <v>7.4999999999999997E-2</v>
      </c>
      <c r="G866">
        <v>0.77600000000000002</v>
      </c>
      <c r="H866" s="3">
        <v>0.90400000000000003</v>
      </c>
      <c r="I866" s="3">
        <f t="shared" si="13"/>
        <v>9.5999999999999974E-2</v>
      </c>
      <c r="J866">
        <v>95</v>
      </c>
      <c r="K866">
        <v>16</v>
      </c>
      <c r="L866">
        <v>9.1</v>
      </c>
    </row>
    <row r="867" spans="1:12" x14ac:dyDescent="0.2">
      <c r="A867">
        <v>98</v>
      </c>
      <c r="B867">
        <v>4701</v>
      </c>
      <c r="C867">
        <v>103</v>
      </c>
      <c r="D867">
        <v>0.92900000000000005</v>
      </c>
      <c r="E867" s="3">
        <v>0.183</v>
      </c>
      <c r="F867">
        <v>0.183</v>
      </c>
      <c r="G867">
        <v>0.82199999999999995</v>
      </c>
      <c r="H867" s="3">
        <v>0.98799999999999999</v>
      </c>
      <c r="I867" s="3">
        <f t="shared" si="13"/>
        <v>1.2000000000000011E-2</v>
      </c>
      <c r="J867">
        <v>19</v>
      </c>
      <c r="K867">
        <v>14</v>
      </c>
      <c r="L867">
        <v>7.1</v>
      </c>
    </row>
    <row r="868" spans="1:12" x14ac:dyDescent="0.2">
      <c r="A868">
        <v>80</v>
      </c>
      <c r="B868">
        <v>3945</v>
      </c>
      <c r="C868">
        <v>199</v>
      </c>
      <c r="D868">
        <v>0.93</v>
      </c>
      <c r="E868" s="3">
        <v>1.2E-2</v>
      </c>
      <c r="F868">
        <v>0.11</v>
      </c>
      <c r="G868">
        <v>0.753</v>
      </c>
      <c r="H868" s="3">
        <v>0.95599999999999996</v>
      </c>
      <c r="I868" s="3">
        <f t="shared" si="13"/>
        <v>4.4000000000000039E-2</v>
      </c>
      <c r="J868">
        <v>21</v>
      </c>
      <c r="K868">
        <v>13</v>
      </c>
      <c r="L868">
        <v>7.9</v>
      </c>
    </row>
    <row r="869" spans="1:12" x14ac:dyDescent="0.2">
      <c r="A869">
        <v>84</v>
      </c>
      <c r="B869">
        <v>4106</v>
      </c>
      <c r="C869">
        <v>111</v>
      </c>
      <c r="D869">
        <v>0.93</v>
      </c>
      <c r="E869" s="3">
        <v>0.17599999999999999</v>
      </c>
      <c r="F869">
        <v>0.111</v>
      </c>
      <c r="G869">
        <v>0.80800000000000005</v>
      </c>
      <c r="H869" s="3">
        <v>0.97399999999999998</v>
      </c>
      <c r="I869" s="3">
        <f t="shared" si="13"/>
        <v>2.6000000000000023E-2</v>
      </c>
      <c r="J869">
        <v>15</v>
      </c>
      <c r="K869">
        <v>2</v>
      </c>
      <c r="L869">
        <v>4.2</v>
      </c>
    </row>
    <row r="870" spans="1:12" x14ac:dyDescent="0.2">
      <c r="A870">
        <v>44</v>
      </c>
      <c r="B870">
        <v>2082</v>
      </c>
      <c r="C870">
        <v>38</v>
      </c>
      <c r="D870">
        <v>0.93100000000000005</v>
      </c>
      <c r="E870" s="3">
        <v>6.8000000000000005E-2</v>
      </c>
      <c r="F870">
        <v>0.22600000000000001</v>
      </c>
      <c r="G870">
        <v>0.80700000000000005</v>
      </c>
      <c r="H870" s="3">
        <v>0.91900000000000004</v>
      </c>
      <c r="I870" s="3">
        <f t="shared" si="13"/>
        <v>8.0999999999999961E-2</v>
      </c>
      <c r="J870">
        <v>51</v>
      </c>
      <c r="K870">
        <v>12</v>
      </c>
      <c r="L870">
        <v>13.5</v>
      </c>
    </row>
    <row r="871" spans="1:12" x14ac:dyDescent="0.2">
      <c r="A871">
        <v>85</v>
      </c>
      <c r="B871">
        <v>4162</v>
      </c>
      <c r="C871">
        <v>193</v>
      </c>
      <c r="D871">
        <v>0.93100000000000005</v>
      </c>
      <c r="E871" s="3">
        <v>0.123</v>
      </c>
      <c r="F871">
        <v>0.113</v>
      </c>
      <c r="G871">
        <v>0.78800000000000003</v>
      </c>
      <c r="H871" s="3">
        <v>0.93500000000000005</v>
      </c>
      <c r="I871" s="3">
        <f t="shared" si="13"/>
        <v>6.4999999999999947E-2</v>
      </c>
      <c r="J871">
        <v>10</v>
      </c>
      <c r="K871">
        <v>18</v>
      </c>
      <c r="L871">
        <v>6.5</v>
      </c>
    </row>
    <row r="872" spans="1:12" x14ac:dyDescent="0.2">
      <c r="A872">
        <v>92</v>
      </c>
      <c r="B872">
        <v>4334</v>
      </c>
      <c r="C872">
        <v>137</v>
      </c>
      <c r="D872">
        <v>0.93100000000000005</v>
      </c>
      <c r="E872" s="3">
        <v>0.12</v>
      </c>
      <c r="F872">
        <v>0.22700000000000001</v>
      </c>
      <c r="G872">
        <v>0.79</v>
      </c>
      <c r="H872" s="3">
        <v>0.90500000000000003</v>
      </c>
      <c r="I872" s="3">
        <f t="shared" si="13"/>
        <v>9.4999999999999973E-2</v>
      </c>
      <c r="J872">
        <v>55</v>
      </c>
      <c r="K872">
        <v>9</v>
      </c>
      <c r="L872">
        <v>9.4</v>
      </c>
    </row>
    <row r="873" spans="1:12" x14ac:dyDescent="0.2">
      <c r="A873">
        <v>79</v>
      </c>
      <c r="B873">
        <v>3918</v>
      </c>
      <c r="C873">
        <v>131</v>
      </c>
      <c r="D873">
        <v>0.93200000000000005</v>
      </c>
      <c r="E873" s="3">
        <v>7.3999999999999996E-2</v>
      </c>
      <c r="F873">
        <v>0.254</v>
      </c>
      <c r="G873">
        <v>0.76</v>
      </c>
      <c r="H873" s="3">
        <v>0.98599999999999999</v>
      </c>
      <c r="I873" s="3">
        <f t="shared" si="13"/>
        <v>1.4000000000000012E-2</v>
      </c>
      <c r="J873">
        <v>44</v>
      </c>
      <c r="K873">
        <v>18</v>
      </c>
      <c r="L873">
        <v>9.6</v>
      </c>
    </row>
    <row r="874" spans="1:12" x14ac:dyDescent="0.2">
      <c r="A874">
        <v>98</v>
      </c>
      <c r="B874">
        <v>4866</v>
      </c>
      <c r="C874">
        <v>54</v>
      </c>
      <c r="D874">
        <v>0.93200000000000005</v>
      </c>
      <c r="E874" s="3">
        <v>0.154</v>
      </c>
      <c r="F874">
        <v>0.23100000000000001</v>
      </c>
      <c r="G874">
        <v>0.83399999999999996</v>
      </c>
      <c r="H874" s="3">
        <v>0.93799999999999994</v>
      </c>
      <c r="I874" s="3">
        <f t="shared" si="13"/>
        <v>6.2000000000000055E-2</v>
      </c>
      <c r="J874">
        <v>98</v>
      </c>
      <c r="K874">
        <v>12</v>
      </c>
      <c r="L874">
        <v>13.8</v>
      </c>
    </row>
    <row r="875" spans="1:12" x14ac:dyDescent="0.2">
      <c r="A875">
        <v>63</v>
      </c>
      <c r="B875">
        <v>2987</v>
      </c>
      <c r="C875">
        <v>41</v>
      </c>
      <c r="D875">
        <v>0.93500000000000005</v>
      </c>
      <c r="E875" s="3">
        <v>0.19500000000000001</v>
      </c>
      <c r="F875">
        <v>0.155</v>
      </c>
      <c r="G875">
        <v>0.71099999999999997</v>
      </c>
      <c r="H875" s="3">
        <v>0.92700000000000005</v>
      </c>
      <c r="I875" s="3">
        <f t="shared" si="13"/>
        <v>7.2999999999999954E-2</v>
      </c>
      <c r="J875">
        <v>56</v>
      </c>
      <c r="K875">
        <v>13</v>
      </c>
      <c r="L875">
        <v>13.9</v>
      </c>
    </row>
    <row r="876" spans="1:12" x14ac:dyDescent="0.2">
      <c r="A876">
        <v>80</v>
      </c>
      <c r="B876">
        <v>3754</v>
      </c>
      <c r="C876">
        <v>95</v>
      </c>
      <c r="D876">
        <v>0.93600000000000005</v>
      </c>
      <c r="E876" s="3">
        <v>0.16900000000000001</v>
      </c>
      <c r="F876">
        <v>0.106</v>
      </c>
      <c r="G876">
        <v>0.80700000000000005</v>
      </c>
      <c r="H876" s="3">
        <v>0.94499999999999995</v>
      </c>
      <c r="I876" s="3">
        <f t="shared" si="13"/>
        <v>5.5000000000000049E-2</v>
      </c>
      <c r="J876">
        <v>47</v>
      </c>
      <c r="K876">
        <v>6</v>
      </c>
      <c r="L876">
        <v>3.1</v>
      </c>
    </row>
    <row r="877" spans="1:12" x14ac:dyDescent="0.2">
      <c r="A877">
        <v>51</v>
      </c>
      <c r="B877">
        <v>2427</v>
      </c>
      <c r="C877">
        <v>164</v>
      </c>
      <c r="D877">
        <v>0.93799999999999994</v>
      </c>
      <c r="E877" s="3">
        <v>0.14399999999999999</v>
      </c>
      <c r="F877">
        <v>0.27700000000000002</v>
      </c>
      <c r="G877">
        <v>0.95299999999999996</v>
      </c>
      <c r="H877" s="3">
        <v>0.99399999999999999</v>
      </c>
      <c r="I877" s="3">
        <f t="shared" si="13"/>
        <v>6.0000000000000053E-3</v>
      </c>
      <c r="J877">
        <v>62</v>
      </c>
      <c r="K877">
        <v>7</v>
      </c>
      <c r="L877">
        <v>8.1999999999999993</v>
      </c>
    </row>
    <row r="878" spans="1:12" x14ac:dyDescent="0.2">
      <c r="A878">
        <v>57</v>
      </c>
      <c r="B878">
        <v>2746</v>
      </c>
      <c r="C878">
        <v>27</v>
      </c>
      <c r="D878">
        <v>0.93799999999999994</v>
      </c>
      <c r="E878" s="3">
        <v>0.155</v>
      </c>
      <c r="F878">
        <v>0.19800000000000001</v>
      </c>
      <c r="G878">
        <v>0.92700000000000005</v>
      </c>
      <c r="H878" s="3">
        <v>0.997</v>
      </c>
      <c r="I878" s="3">
        <f t="shared" si="13"/>
        <v>3.0000000000000027E-3</v>
      </c>
      <c r="J878">
        <v>13</v>
      </c>
      <c r="K878">
        <v>6</v>
      </c>
      <c r="L878">
        <v>1.1000000000000001</v>
      </c>
    </row>
    <row r="879" spans="1:12" x14ac:dyDescent="0.2">
      <c r="A879">
        <v>69</v>
      </c>
      <c r="B879">
        <v>3257</v>
      </c>
      <c r="C879">
        <v>81</v>
      </c>
      <c r="D879">
        <v>0.93799999999999994</v>
      </c>
      <c r="E879" s="3">
        <v>0.15</v>
      </c>
      <c r="F879">
        <v>0.11</v>
      </c>
      <c r="G879">
        <v>0.73799999999999999</v>
      </c>
      <c r="H879" s="3">
        <v>0.996</v>
      </c>
      <c r="I879" s="3">
        <f t="shared" si="13"/>
        <v>4.0000000000000036E-3</v>
      </c>
      <c r="J879">
        <v>63</v>
      </c>
      <c r="K879">
        <v>12</v>
      </c>
      <c r="L879">
        <v>2.7</v>
      </c>
    </row>
    <row r="880" spans="1:12" x14ac:dyDescent="0.2">
      <c r="A880">
        <v>29</v>
      </c>
      <c r="B880">
        <v>1353</v>
      </c>
      <c r="C880">
        <v>144</v>
      </c>
      <c r="D880">
        <v>0.93899999999999995</v>
      </c>
      <c r="E880" s="3">
        <v>0.152</v>
      </c>
      <c r="F880">
        <v>0.20599999999999999</v>
      </c>
      <c r="G880">
        <v>0.80400000000000005</v>
      </c>
      <c r="H880" s="3">
        <v>0.95199999999999996</v>
      </c>
      <c r="I880" s="3">
        <f t="shared" si="13"/>
        <v>4.8000000000000043E-2</v>
      </c>
      <c r="J880">
        <v>86</v>
      </c>
      <c r="K880">
        <v>2</v>
      </c>
      <c r="L880">
        <v>4.9000000000000004</v>
      </c>
    </row>
    <row r="881" spans="1:12" x14ac:dyDescent="0.2">
      <c r="A881">
        <v>26</v>
      </c>
      <c r="B881">
        <v>1058</v>
      </c>
      <c r="C881">
        <v>176</v>
      </c>
      <c r="D881">
        <v>0.94</v>
      </c>
      <c r="E881" s="3">
        <v>0.105</v>
      </c>
      <c r="F881">
        <v>0.13600000000000001</v>
      </c>
      <c r="G881">
        <v>0.90100000000000002</v>
      </c>
      <c r="H881" s="3">
        <v>0.94399999999999995</v>
      </c>
      <c r="I881" s="3">
        <f t="shared" si="13"/>
        <v>5.600000000000005E-2</v>
      </c>
      <c r="J881">
        <v>58</v>
      </c>
      <c r="K881">
        <v>13</v>
      </c>
      <c r="L881">
        <v>5.3</v>
      </c>
    </row>
    <row r="882" spans="1:12" x14ac:dyDescent="0.2">
      <c r="A882">
        <v>32</v>
      </c>
      <c r="B882">
        <v>1330</v>
      </c>
      <c r="C882">
        <v>67</v>
      </c>
      <c r="D882">
        <v>0.94</v>
      </c>
      <c r="E882" s="3">
        <v>0.14299999999999999</v>
      </c>
      <c r="F882">
        <v>0.21099999999999999</v>
      </c>
      <c r="G882">
        <v>0.84099999999999997</v>
      </c>
      <c r="H882" s="3">
        <v>0.93899999999999995</v>
      </c>
      <c r="I882" s="3">
        <f t="shared" si="13"/>
        <v>6.1000000000000054E-2</v>
      </c>
      <c r="J882">
        <v>73</v>
      </c>
      <c r="K882">
        <v>4</v>
      </c>
      <c r="L882">
        <v>11.6</v>
      </c>
    </row>
    <row r="883" spans="1:12" x14ac:dyDescent="0.2">
      <c r="A883">
        <v>94</v>
      </c>
      <c r="B883">
        <v>4644</v>
      </c>
      <c r="C883">
        <v>69</v>
      </c>
      <c r="D883">
        <v>0.94</v>
      </c>
      <c r="E883" s="3">
        <v>0.19700000000000001</v>
      </c>
      <c r="F883">
        <v>0.26700000000000002</v>
      </c>
      <c r="G883">
        <v>0.85799999999999998</v>
      </c>
      <c r="H883" s="3">
        <v>0.94399999999999995</v>
      </c>
      <c r="I883" s="3">
        <f t="shared" si="13"/>
        <v>5.600000000000005E-2</v>
      </c>
      <c r="J883">
        <v>65</v>
      </c>
      <c r="K883">
        <v>8</v>
      </c>
      <c r="L883">
        <v>11.6</v>
      </c>
    </row>
    <row r="884" spans="1:12" x14ac:dyDescent="0.2">
      <c r="A884">
        <v>100</v>
      </c>
      <c r="B884">
        <v>4730</v>
      </c>
      <c r="C884">
        <v>72</v>
      </c>
      <c r="D884">
        <v>0.94</v>
      </c>
      <c r="E884" s="3">
        <v>0.156</v>
      </c>
      <c r="F884">
        <v>0.25600000000000001</v>
      </c>
      <c r="G884">
        <v>0.70899999999999996</v>
      </c>
      <c r="H884" s="3">
        <v>0.98299999999999998</v>
      </c>
      <c r="I884" s="3">
        <f t="shared" si="13"/>
        <v>1.7000000000000015E-2</v>
      </c>
      <c r="J884">
        <v>5</v>
      </c>
      <c r="K884">
        <v>17</v>
      </c>
      <c r="L884">
        <v>6.1</v>
      </c>
    </row>
    <row r="885" spans="1:12" x14ac:dyDescent="0.2">
      <c r="A885">
        <v>38</v>
      </c>
      <c r="B885">
        <v>1684</v>
      </c>
      <c r="C885">
        <v>49</v>
      </c>
      <c r="D885">
        <v>0.94099999999999995</v>
      </c>
      <c r="E885" s="3">
        <v>9.7000000000000003E-2</v>
      </c>
      <c r="F885">
        <v>0.11700000000000001</v>
      </c>
      <c r="G885">
        <v>0.88500000000000001</v>
      </c>
      <c r="H885" s="3">
        <v>0.92700000000000005</v>
      </c>
      <c r="I885" s="3">
        <f t="shared" si="13"/>
        <v>7.2999999999999954E-2</v>
      </c>
      <c r="J885">
        <v>26</v>
      </c>
      <c r="K885">
        <v>16</v>
      </c>
      <c r="L885">
        <v>1.8</v>
      </c>
    </row>
    <row r="886" spans="1:12" x14ac:dyDescent="0.2">
      <c r="A886">
        <v>69</v>
      </c>
      <c r="B886">
        <v>3248</v>
      </c>
      <c r="C886">
        <v>97</v>
      </c>
      <c r="D886">
        <v>0.94099999999999995</v>
      </c>
      <c r="E886" s="3">
        <v>0.14099999999999999</v>
      </c>
      <c r="F886">
        <v>0.24</v>
      </c>
      <c r="G886">
        <v>0.85699999999999998</v>
      </c>
      <c r="H886" s="3">
        <v>0.96799999999999997</v>
      </c>
      <c r="I886" s="3">
        <f t="shared" si="13"/>
        <v>3.2000000000000028E-2</v>
      </c>
      <c r="J886">
        <v>53</v>
      </c>
      <c r="K886">
        <v>10</v>
      </c>
      <c r="L886">
        <v>13.5</v>
      </c>
    </row>
    <row r="887" spans="1:12" x14ac:dyDescent="0.2">
      <c r="A887">
        <v>72</v>
      </c>
      <c r="B887">
        <v>3566</v>
      </c>
      <c r="C887">
        <v>131</v>
      </c>
      <c r="D887">
        <v>0.94099999999999995</v>
      </c>
      <c r="E887" s="3">
        <v>9.5000000000000001E-2</v>
      </c>
      <c r="F887">
        <v>0.17799999999999999</v>
      </c>
      <c r="G887">
        <v>0.72799999999999998</v>
      </c>
      <c r="H887" s="3">
        <v>0.96299999999999997</v>
      </c>
      <c r="I887" s="3">
        <f t="shared" si="13"/>
        <v>3.7000000000000033E-2</v>
      </c>
      <c r="J887">
        <v>87</v>
      </c>
      <c r="K887">
        <v>19</v>
      </c>
      <c r="L887">
        <v>6</v>
      </c>
    </row>
    <row r="888" spans="1:12" x14ac:dyDescent="0.2">
      <c r="A888">
        <v>97</v>
      </c>
      <c r="B888">
        <v>4792</v>
      </c>
      <c r="C888">
        <v>70</v>
      </c>
      <c r="D888">
        <v>0.94099999999999995</v>
      </c>
      <c r="E888" s="3">
        <v>0.193</v>
      </c>
      <c r="F888">
        <v>0.11700000000000001</v>
      </c>
      <c r="G888">
        <v>0.80500000000000005</v>
      </c>
      <c r="H888" s="3">
        <v>0.96</v>
      </c>
      <c r="I888" s="3">
        <f t="shared" si="13"/>
        <v>4.0000000000000036E-2</v>
      </c>
      <c r="J888">
        <v>81</v>
      </c>
      <c r="K888">
        <v>9</v>
      </c>
      <c r="L888">
        <v>10.9</v>
      </c>
    </row>
    <row r="889" spans="1:12" x14ac:dyDescent="0.2">
      <c r="A889">
        <v>28</v>
      </c>
      <c r="B889">
        <v>1136</v>
      </c>
      <c r="C889">
        <v>84</v>
      </c>
      <c r="D889">
        <v>0.94199999999999995</v>
      </c>
      <c r="E889" s="3">
        <v>0.13300000000000001</v>
      </c>
      <c r="F889">
        <v>0.16500000000000001</v>
      </c>
      <c r="G889">
        <v>0.89900000000000002</v>
      </c>
      <c r="H889" s="3">
        <v>0.92600000000000005</v>
      </c>
      <c r="I889" s="3">
        <f t="shared" si="13"/>
        <v>7.3999999999999955E-2</v>
      </c>
      <c r="J889">
        <v>39</v>
      </c>
      <c r="K889">
        <v>19</v>
      </c>
      <c r="L889">
        <v>4.2</v>
      </c>
    </row>
    <row r="890" spans="1:12" x14ac:dyDescent="0.2">
      <c r="A890">
        <v>57</v>
      </c>
      <c r="B890">
        <v>2772</v>
      </c>
      <c r="C890">
        <v>62</v>
      </c>
      <c r="D890">
        <v>0.94299999999999995</v>
      </c>
      <c r="E890" s="3">
        <v>7.8E-2</v>
      </c>
      <c r="F890">
        <v>0.24199999999999999</v>
      </c>
      <c r="G890">
        <v>0.79700000000000004</v>
      </c>
      <c r="H890" s="3">
        <v>0.90200000000000002</v>
      </c>
      <c r="I890" s="3">
        <f t="shared" si="13"/>
        <v>9.7999999999999976E-2</v>
      </c>
      <c r="J890">
        <v>49</v>
      </c>
      <c r="K890">
        <v>14</v>
      </c>
      <c r="L890">
        <v>2.1</v>
      </c>
    </row>
    <row r="891" spans="1:12" x14ac:dyDescent="0.2">
      <c r="A891">
        <v>90</v>
      </c>
      <c r="B891">
        <v>4388</v>
      </c>
      <c r="C891">
        <v>152</v>
      </c>
      <c r="D891">
        <v>0.94299999999999995</v>
      </c>
      <c r="E891" s="3">
        <v>0.06</v>
      </c>
      <c r="F891">
        <v>9.6000000000000002E-2</v>
      </c>
      <c r="G891">
        <v>0.73299999999999998</v>
      </c>
      <c r="H891" s="3">
        <v>0.96499999999999997</v>
      </c>
      <c r="I891" s="3">
        <f t="shared" si="13"/>
        <v>3.5000000000000031E-2</v>
      </c>
      <c r="J891">
        <v>54</v>
      </c>
      <c r="K891">
        <v>11</v>
      </c>
      <c r="L891">
        <v>10.5</v>
      </c>
    </row>
    <row r="892" spans="1:12" x14ac:dyDescent="0.2">
      <c r="A892">
        <v>92</v>
      </c>
      <c r="B892">
        <v>4451</v>
      </c>
      <c r="C892">
        <v>177</v>
      </c>
      <c r="D892">
        <v>0.94299999999999995</v>
      </c>
      <c r="E892" s="3">
        <v>0.14199999999999999</v>
      </c>
      <c r="F892">
        <v>0.217</v>
      </c>
      <c r="G892">
        <v>0.755</v>
      </c>
      <c r="H892" s="3">
        <v>0.93799999999999994</v>
      </c>
      <c r="I892" s="3">
        <f t="shared" si="13"/>
        <v>6.2000000000000055E-2</v>
      </c>
      <c r="J892">
        <v>85</v>
      </c>
      <c r="K892">
        <v>6</v>
      </c>
      <c r="L892">
        <v>1.4</v>
      </c>
    </row>
    <row r="893" spans="1:12" x14ac:dyDescent="0.2">
      <c r="A893">
        <v>95</v>
      </c>
      <c r="B893">
        <v>4509</v>
      </c>
      <c r="C893">
        <v>144</v>
      </c>
      <c r="D893">
        <v>0.94399999999999995</v>
      </c>
      <c r="E893" s="3">
        <v>0.16700000000000001</v>
      </c>
      <c r="F893">
        <v>0.26300000000000001</v>
      </c>
      <c r="G893">
        <v>0.755</v>
      </c>
      <c r="H893" s="3">
        <v>0.91800000000000004</v>
      </c>
      <c r="I893" s="3">
        <f t="shared" si="13"/>
        <v>8.1999999999999962E-2</v>
      </c>
      <c r="J893">
        <v>83</v>
      </c>
      <c r="K893">
        <v>7</v>
      </c>
      <c r="L893">
        <v>8.5</v>
      </c>
    </row>
    <row r="894" spans="1:12" x14ac:dyDescent="0.2">
      <c r="A894">
        <v>60</v>
      </c>
      <c r="B894">
        <v>2889</v>
      </c>
      <c r="C894">
        <v>123</v>
      </c>
      <c r="D894">
        <v>0.94499999999999995</v>
      </c>
      <c r="E894" s="3">
        <v>0.09</v>
      </c>
      <c r="F894">
        <v>0.11600000000000001</v>
      </c>
      <c r="G894">
        <v>0.93700000000000006</v>
      </c>
      <c r="H894" s="3">
        <v>0.90300000000000002</v>
      </c>
      <c r="I894" s="3">
        <f t="shared" si="13"/>
        <v>9.6999999999999975E-2</v>
      </c>
      <c r="J894">
        <v>38</v>
      </c>
      <c r="K894">
        <v>17</v>
      </c>
      <c r="L894">
        <v>4.4000000000000004</v>
      </c>
    </row>
    <row r="895" spans="1:12" x14ac:dyDescent="0.2">
      <c r="A895">
        <v>79</v>
      </c>
      <c r="B895">
        <v>3808</v>
      </c>
      <c r="C895">
        <v>38</v>
      </c>
      <c r="D895">
        <v>0.94499999999999995</v>
      </c>
      <c r="E895" s="3">
        <v>0.16200000000000001</v>
      </c>
      <c r="F895">
        <v>0.222</v>
      </c>
      <c r="G895">
        <v>0.81799999999999995</v>
      </c>
      <c r="H895" s="3">
        <v>0.96599999999999997</v>
      </c>
      <c r="I895" s="3">
        <f t="shared" si="13"/>
        <v>3.400000000000003E-2</v>
      </c>
      <c r="J895">
        <v>97</v>
      </c>
      <c r="K895">
        <v>15</v>
      </c>
      <c r="L895">
        <v>14</v>
      </c>
    </row>
    <row r="896" spans="1:12" x14ac:dyDescent="0.2">
      <c r="A896">
        <v>44</v>
      </c>
      <c r="B896">
        <v>2036</v>
      </c>
      <c r="C896">
        <v>72</v>
      </c>
      <c r="D896">
        <v>0.94599999999999995</v>
      </c>
      <c r="E896" s="3">
        <v>3.1E-2</v>
      </c>
      <c r="F896">
        <v>0.17</v>
      </c>
      <c r="G896">
        <v>0.97399999999999998</v>
      </c>
      <c r="H896" s="3">
        <v>0.91</v>
      </c>
      <c r="I896" s="3">
        <f t="shared" si="13"/>
        <v>8.9999999999999969E-2</v>
      </c>
      <c r="J896">
        <v>6</v>
      </c>
      <c r="K896">
        <v>2</v>
      </c>
      <c r="L896">
        <v>11</v>
      </c>
    </row>
    <row r="897" spans="1:12" x14ac:dyDescent="0.2">
      <c r="A897">
        <v>52</v>
      </c>
      <c r="B897">
        <v>2349</v>
      </c>
      <c r="C897">
        <v>18</v>
      </c>
      <c r="D897">
        <v>0.94599999999999995</v>
      </c>
      <c r="E897" s="3">
        <v>0.126</v>
      </c>
      <c r="F897">
        <v>5.1999999999999998E-2</v>
      </c>
      <c r="G897">
        <v>0.83499999999999996</v>
      </c>
      <c r="H897" s="3">
        <v>0.94099999999999995</v>
      </c>
      <c r="I897" s="3">
        <f t="shared" si="13"/>
        <v>5.9000000000000052E-2</v>
      </c>
      <c r="J897">
        <v>99</v>
      </c>
      <c r="K897">
        <v>4</v>
      </c>
      <c r="L897">
        <v>8.9</v>
      </c>
    </row>
    <row r="898" spans="1:12" x14ac:dyDescent="0.2">
      <c r="A898">
        <v>98</v>
      </c>
      <c r="B898">
        <v>4800</v>
      </c>
      <c r="C898">
        <v>178</v>
      </c>
      <c r="D898">
        <v>0.94599999999999995</v>
      </c>
      <c r="E898" s="3">
        <v>1.7999999999999999E-2</v>
      </c>
      <c r="F898">
        <v>8.3000000000000004E-2</v>
      </c>
      <c r="G898">
        <v>0.77</v>
      </c>
      <c r="H898" s="3">
        <v>0.94699999999999995</v>
      </c>
      <c r="I898" s="3">
        <f t="shared" si="13"/>
        <v>5.3000000000000047E-2</v>
      </c>
      <c r="J898">
        <v>46</v>
      </c>
      <c r="K898">
        <v>2</v>
      </c>
      <c r="L898">
        <v>14.6</v>
      </c>
    </row>
    <row r="899" spans="1:12" x14ac:dyDescent="0.2">
      <c r="A899">
        <v>27</v>
      </c>
      <c r="B899">
        <v>1226</v>
      </c>
      <c r="C899">
        <v>156</v>
      </c>
      <c r="D899">
        <v>0.94699999999999995</v>
      </c>
      <c r="E899" s="3">
        <v>0.11600000000000001</v>
      </c>
      <c r="F899">
        <v>0.26200000000000001</v>
      </c>
      <c r="G899">
        <v>0.96099999999999997</v>
      </c>
      <c r="H899" s="3">
        <v>0.94799999999999995</v>
      </c>
      <c r="I899" s="3">
        <f t="shared" ref="I899:I962" si="14">1-H899</f>
        <v>5.2000000000000046E-2</v>
      </c>
      <c r="J899">
        <v>34</v>
      </c>
      <c r="K899">
        <v>4</v>
      </c>
      <c r="L899">
        <v>12.1</v>
      </c>
    </row>
    <row r="900" spans="1:12" x14ac:dyDescent="0.2">
      <c r="A900">
        <v>64</v>
      </c>
      <c r="B900">
        <v>3096</v>
      </c>
      <c r="C900">
        <v>126</v>
      </c>
      <c r="D900">
        <v>0.94699999999999995</v>
      </c>
      <c r="E900" s="3">
        <v>0.156</v>
      </c>
      <c r="F900">
        <v>9.9000000000000005E-2</v>
      </c>
      <c r="G900">
        <v>0.95599999999999996</v>
      </c>
      <c r="H900" s="3">
        <v>0.97299999999999998</v>
      </c>
      <c r="I900" s="3">
        <f t="shared" si="14"/>
        <v>2.7000000000000024E-2</v>
      </c>
      <c r="J900">
        <v>43</v>
      </c>
      <c r="K900">
        <v>15</v>
      </c>
      <c r="L900">
        <v>11.5</v>
      </c>
    </row>
    <row r="901" spans="1:12" x14ac:dyDescent="0.2">
      <c r="A901">
        <v>91</v>
      </c>
      <c r="B901">
        <v>4351</v>
      </c>
      <c r="C901">
        <v>91</v>
      </c>
      <c r="D901">
        <v>0.94699999999999995</v>
      </c>
      <c r="E901" s="3">
        <v>0.13300000000000001</v>
      </c>
      <c r="F901">
        <v>0.248</v>
      </c>
      <c r="G901">
        <v>0.86299999999999999</v>
      </c>
      <c r="H901" s="3">
        <v>0.91600000000000004</v>
      </c>
      <c r="I901" s="3">
        <f t="shared" si="14"/>
        <v>8.3999999999999964E-2</v>
      </c>
      <c r="J901">
        <v>63</v>
      </c>
      <c r="K901">
        <v>1</v>
      </c>
      <c r="L901">
        <v>10.199999999999999</v>
      </c>
    </row>
    <row r="902" spans="1:12" x14ac:dyDescent="0.2">
      <c r="A902">
        <v>73</v>
      </c>
      <c r="B902">
        <v>3546</v>
      </c>
      <c r="C902">
        <v>33</v>
      </c>
      <c r="D902">
        <v>0.94899999999999995</v>
      </c>
      <c r="E902" s="3">
        <v>7.4999999999999997E-2</v>
      </c>
      <c r="F902">
        <v>0.111</v>
      </c>
      <c r="G902">
        <v>0.78300000000000003</v>
      </c>
      <c r="H902" s="3">
        <v>0.91600000000000004</v>
      </c>
      <c r="I902" s="3">
        <f t="shared" si="14"/>
        <v>8.3999999999999964E-2</v>
      </c>
      <c r="J902">
        <v>44</v>
      </c>
      <c r="K902">
        <v>6</v>
      </c>
      <c r="L902">
        <v>11</v>
      </c>
    </row>
    <row r="903" spans="1:12" x14ac:dyDescent="0.2">
      <c r="A903">
        <v>75</v>
      </c>
      <c r="B903">
        <v>3679</v>
      </c>
      <c r="C903">
        <v>127</v>
      </c>
      <c r="D903">
        <v>0.94899999999999995</v>
      </c>
      <c r="E903" s="3">
        <v>7.0999999999999994E-2</v>
      </c>
      <c r="F903">
        <v>0.187</v>
      </c>
      <c r="G903">
        <v>0.72299999999999998</v>
      </c>
      <c r="H903" s="3">
        <v>0.96099999999999997</v>
      </c>
      <c r="I903" s="3">
        <f t="shared" si="14"/>
        <v>3.9000000000000035E-2</v>
      </c>
      <c r="J903">
        <v>46</v>
      </c>
      <c r="K903">
        <v>8</v>
      </c>
      <c r="L903">
        <v>13.8</v>
      </c>
    </row>
    <row r="904" spans="1:12" x14ac:dyDescent="0.2">
      <c r="A904">
        <v>29</v>
      </c>
      <c r="B904">
        <v>1270</v>
      </c>
      <c r="C904">
        <v>45</v>
      </c>
      <c r="D904">
        <v>0.95</v>
      </c>
      <c r="E904" s="3">
        <v>0.156</v>
      </c>
      <c r="F904">
        <v>0.23200000000000001</v>
      </c>
      <c r="G904">
        <v>0.76900000000000002</v>
      </c>
      <c r="H904" s="3">
        <v>0.99099999999999999</v>
      </c>
      <c r="I904" s="3">
        <f t="shared" si="14"/>
        <v>9.000000000000008E-3</v>
      </c>
      <c r="J904">
        <v>77</v>
      </c>
      <c r="K904">
        <v>6</v>
      </c>
      <c r="L904">
        <v>6</v>
      </c>
    </row>
    <row r="905" spans="1:12" x14ac:dyDescent="0.2">
      <c r="A905">
        <v>31</v>
      </c>
      <c r="B905">
        <v>1383</v>
      </c>
      <c r="C905">
        <v>72</v>
      </c>
      <c r="D905">
        <v>0.95</v>
      </c>
      <c r="E905" s="3">
        <v>1.4999999999999999E-2</v>
      </c>
      <c r="F905">
        <v>0.13900000000000001</v>
      </c>
      <c r="G905">
        <v>0.95899999999999996</v>
      </c>
      <c r="H905" s="3">
        <v>0.95399999999999996</v>
      </c>
      <c r="I905" s="3">
        <f t="shared" si="14"/>
        <v>4.6000000000000041E-2</v>
      </c>
      <c r="J905">
        <v>99</v>
      </c>
      <c r="K905">
        <v>10</v>
      </c>
      <c r="L905">
        <v>10.5</v>
      </c>
    </row>
    <row r="906" spans="1:12" x14ac:dyDescent="0.2">
      <c r="A906">
        <v>46</v>
      </c>
      <c r="B906">
        <v>2053</v>
      </c>
      <c r="C906">
        <v>173</v>
      </c>
      <c r="D906">
        <v>0.95</v>
      </c>
      <c r="E906" s="3">
        <v>9.1999999999999998E-2</v>
      </c>
      <c r="F906">
        <v>0.109</v>
      </c>
      <c r="G906">
        <v>0.95099999999999996</v>
      </c>
      <c r="H906" s="3">
        <v>0.96299999999999997</v>
      </c>
      <c r="I906" s="3">
        <f t="shared" si="14"/>
        <v>3.7000000000000033E-2</v>
      </c>
      <c r="J906">
        <v>78</v>
      </c>
      <c r="K906">
        <v>19</v>
      </c>
      <c r="L906">
        <v>14.7</v>
      </c>
    </row>
    <row r="907" spans="1:12" x14ac:dyDescent="0.2">
      <c r="A907">
        <v>68</v>
      </c>
      <c r="B907">
        <v>3194</v>
      </c>
      <c r="C907">
        <v>83</v>
      </c>
      <c r="D907">
        <v>0.95</v>
      </c>
      <c r="E907" s="3">
        <v>5.3999999999999999E-2</v>
      </c>
      <c r="F907">
        <v>0.109</v>
      </c>
      <c r="G907">
        <v>0.71599999999999997</v>
      </c>
      <c r="H907" s="3">
        <v>0.95099999999999996</v>
      </c>
      <c r="I907" s="3">
        <f t="shared" si="14"/>
        <v>4.9000000000000044E-2</v>
      </c>
      <c r="J907">
        <v>86</v>
      </c>
      <c r="K907">
        <v>9</v>
      </c>
      <c r="L907">
        <v>8.6</v>
      </c>
    </row>
    <row r="908" spans="1:12" x14ac:dyDescent="0.2">
      <c r="A908">
        <v>76</v>
      </c>
      <c r="B908">
        <v>3655</v>
      </c>
      <c r="C908">
        <v>20</v>
      </c>
      <c r="D908">
        <v>0.95</v>
      </c>
      <c r="E908" s="3">
        <v>4.2000000000000003E-2</v>
      </c>
      <c r="F908">
        <v>9.8000000000000004E-2</v>
      </c>
      <c r="G908">
        <v>0.73799999999999999</v>
      </c>
      <c r="H908" s="3">
        <v>0.91</v>
      </c>
      <c r="I908" s="3">
        <f t="shared" si="14"/>
        <v>8.9999999999999969E-2</v>
      </c>
      <c r="J908">
        <v>58</v>
      </c>
      <c r="K908">
        <v>4</v>
      </c>
      <c r="L908">
        <v>10.9</v>
      </c>
    </row>
    <row r="909" spans="1:12" x14ac:dyDescent="0.2">
      <c r="A909">
        <v>61</v>
      </c>
      <c r="B909">
        <v>3005</v>
      </c>
      <c r="C909">
        <v>178</v>
      </c>
      <c r="D909">
        <v>0.95099999999999996</v>
      </c>
      <c r="E909" s="3">
        <v>0.10199999999999999</v>
      </c>
      <c r="F909">
        <v>0.3</v>
      </c>
      <c r="G909">
        <v>0.95499999999999996</v>
      </c>
      <c r="H909" s="3">
        <v>0.96499999999999997</v>
      </c>
      <c r="I909" s="3">
        <f t="shared" si="14"/>
        <v>3.5000000000000031E-2</v>
      </c>
      <c r="J909">
        <v>40</v>
      </c>
      <c r="K909">
        <v>13</v>
      </c>
      <c r="L909">
        <v>9.3000000000000007</v>
      </c>
    </row>
    <row r="910" spans="1:12" x14ac:dyDescent="0.2">
      <c r="A910">
        <v>25</v>
      </c>
      <c r="B910">
        <v>1115</v>
      </c>
      <c r="C910">
        <v>140</v>
      </c>
      <c r="D910">
        <v>0.95199999999999996</v>
      </c>
      <c r="E910" s="3">
        <v>8.6999999999999994E-2</v>
      </c>
      <c r="F910">
        <v>0.23</v>
      </c>
      <c r="G910">
        <v>0.95199999999999996</v>
      </c>
      <c r="H910" s="3">
        <v>0.97</v>
      </c>
      <c r="I910" s="3">
        <f t="shared" si="14"/>
        <v>3.0000000000000027E-2</v>
      </c>
      <c r="J910">
        <v>57</v>
      </c>
      <c r="K910">
        <v>6</v>
      </c>
      <c r="L910">
        <v>5.4</v>
      </c>
    </row>
    <row r="911" spans="1:12" x14ac:dyDescent="0.2">
      <c r="A911">
        <v>28</v>
      </c>
      <c r="B911">
        <v>1356</v>
      </c>
      <c r="C911">
        <v>192</v>
      </c>
      <c r="D911">
        <v>0.95199999999999996</v>
      </c>
      <c r="E911" s="3">
        <v>0.11799999999999999</v>
      </c>
      <c r="F911">
        <v>9.7000000000000003E-2</v>
      </c>
      <c r="G911">
        <v>0.77800000000000002</v>
      </c>
      <c r="H911" s="3">
        <v>0.94799999999999995</v>
      </c>
      <c r="I911" s="3">
        <f t="shared" si="14"/>
        <v>5.2000000000000046E-2</v>
      </c>
      <c r="J911">
        <v>81</v>
      </c>
      <c r="K911">
        <v>17</v>
      </c>
      <c r="L911">
        <v>10.9</v>
      </c>
    </row>
    <row r="912" spans="1:12" x14ac:dyDescent="0.2">
      <c r="A912">
        <v>40</v>
      </c>
      <c r="B912">
        <v>1817</v>
      </c>
      <c r="C912">
        <v>56</v>
      </c>
      <c r="D912">
        <v>0.95299999999999996</v>
      </c>
      <c r="E912" s="3">
        <v>9.5000000000000001E-2</v>
      </c>
      <c r="F912">
        <v>0.28799999999999998</v>
      </c>
      <c r="G912">
        <v>0.82599999999999996</v>
      </c>
      <c r="H912" s="3">
        <v>0.91500000000000004</v>
      </c>
      <c r="I912" s="3">
        <f t="shared" si="14"/>
        <v>8.4999999999999964E-2</v>
      </c>
      <c r="J912">
        <v>38</v>
      </c>
      <c r="K912">
        <v>7</v>
      </c>
      <c r="L912">
        <v>7.3</v>
      </c>
    </row>
    <row r="913" spans="1:12" x14ac:dyDescent="0.2">
      <c r="A913">
        <v>87</v>
      </c>
      <c r="B913">
        <v>4173</v>
      </c>
      <c r="C913">
        <v>93</v>
      </c>
      <c r="D913">
        <v>0.95299999999999996</v>
      </c>
      <c r="E913" s="3">
        <v>0.14699999999999999</v>
      </c>
      <c r="F913">
        <v>0.27300000000000002</v>
      </c>
      <c r="G913">
        <v>0.75</v>
      </c>
      <c r="H913" s="3">
        <v>0.96</v>
      </c>
      <c r="I913" s="3">
        <f t="shared" si="14"/>
        <v>4.0000000000000036E-2</v>
      </c>
      <c r="J913">
        <v>54</v>
      </c>
      <c r="K913">
        <v>6</v>
      </c>
      <c r="L913">
        <v>12.9</v>
      </c>
    </row>
    <row r="914" spans="1:12" x14ac:dyDescent="0.2">
      <c r="A914">
        <v>62</v>
      </c>
      <c r="B914">
        <v>2932</v>
      </c>
      <c r="C914">
        <v>15</v>
      </c>
      <c r="D914">
        <v>0.95399999999999996</v>
      </c>
      <c r="E914" s="3">
        <v>6.9000000000000006E-2</v>
      </c>
      <c r="F914">
        <v>0.255</v>
      </c>
      <c r="G914">
        <v>0.93</v>
      </c>
      <c r="H914" s="3">
        <v>0.93300000000000005</v>
      </c>
      <c r="I914" s="3">
        <f t="shared" si="14"/>
        <v>6.6999999999999948E-2</v>
      </c>
      <c r="J914">
        <v>57</v>
      </c>
      <c r="K914">
        <v>3</v>
      </c>
      <c r="L914">
        <v>6.8</v>
      </c>
    </row>
    <row r="915" spans="1:12" x14ac:dyDescent="0.2">
      <c r="A915">
        <v>61</v>
      </c>
      <c r="B915">
        <v>2960</v>
      </c>
      <c r="C915">
        <v>128</v>
      </c>
      <c r="D915">
        <v>0.95399999999999996</v>
      </c>
      <c r="E915" s="3">
        <v>0.14099999999999999</v>
      </c>
      <c r="F915">
        <v>0.214</v>
      </c>
      <c r="G915">
        <v>0.93700000000000006</v>
      </c>
      <c r="H915" s="3">
        <v>0.92200000000000004</v>
      </c>
      <c r="I915" s="3">
        <f t="shared" si="14"/>
        <v>7.7999999999999958E-2</v>
      </c>
      <c r="J915">
        <v>37</v>
      </c>
      <c r="K915">
        <v>12</v>
      </c>
      <c r="L915">
        <v>2.5</v>
      </c>
    </row>
    <row r="916" spans="1:12" x14ac:dyDescent="0.2">
      <c r="A916">
        <v>98</v>
      </c>
      <c r="B916">
        <v>4645</v>
      </c>
      <c r="C916">
        <v>119</v>
      </c>
      <c r="D916">
        <v>0.95399999999999996</v>
      </c>
      <c r="E916" s="3">
        <v>1.4E-2</v>
      </c>
      <c r="F916">
        <v>0.13</v>
      </c>
      <c r="G916">
        <v>0.84299999999999997</v>
      </c>
      <c r="H916" s="3">
        <v>0.91900000000000004</v>
      </c>
      <c r="I916" s="3">
        <f t="shared" si="14"/>
        <v>8.0999999999999961E-2</v>
      </c>
      <c r="J916">
        <v>66</v>
      </c>
      <c r="K916">
        <v>12</v>
      </c>
      <c r="L916">
        <v>3.7</v>
      </c>
    </row>
    <row r="917" spans="1:12" x14ac:dyDescent="0.2">
      <c r="A917">
        <v>32</v>
      </c>
      <c r="B917">
        <v>1382</v>
      </c>
      <c r="C917">
        <v>137</v>
      </c>
      <c r="D917">
        <v>0.95499999999999996</v>
      </c>
      <c r="E917" s="3">
        <v>0.14699999999999999</v>
      </c>
      <c r="F917">
        <v>0.20699999999999999</v>
      </c>
      <c r="G917">
        <v>0.78600000000000003</v>
      </c>
      <c r="H917" s="3">
        <v>0.96399999999999997</v>
      </c>
      <c r="I917" s="3">
        <f t="shared" si="14"/>
        <v>3.6000000000000032E-2</v>
      </c>
      <c r="J917">
        <v>67</v>
      </c>
      <c r="K917">
        <v>12</v>
      </c>
      <c r="L917">
        <v>4.0999999999999996</v>
      </c>
    </row>
    <row r="918" spans="1:12" x14ac:dyDescent="0.2">
      <c r="A918">
        <v>44</v>
      </c>
      <c r="B918">
        <v>2113</v>
      </c>
      <c r="C918">
        <v>147</v>
      </c>
      <c r="D918">
        <v>0.95499999999999996</v>
      </c>
      <c r="E918" s="3">
        <v>8.7999999999999995E-2</v>
      </c>
      <c r="F918">
        <v>9.4E-2</v>
      </c>
      <c r="G918">
        <v>0.85799999999999998</v>
      </c>
      <c r="H918" s="3">
        <v>0.95799999999999996</v>
      </c>
      <c r="I918" s="3">
        <f t="shared" si="14"/>
        <v>4.2000000000000037E-2</v>
      </c>
      <c r="J918">
        <v>73</v>
      </c>
      <c r="K918">
        <v>12</v>
      </c>
      <c r="L918">
        <v>5</v>
      </c>
    </row>
    <row r="919" spans="1:12" x14ac:dyDescent="0.2">
      <c r="A919">
        <v>102</v>
      </c>
      <c r="B919">
        <v>4825</v>
      </c>
      <c r="C919">
        <v>91</v>
      </c>
      <c r="D919">
        <v>0.95499999999999996</v>
      </c>
      <c r="E919" s="3">
        <v>9.4E-2</v>
      </c>
      <c r="F919">
        <v>0.25</v>
      </c>
      <c r="G919">
        <v>0.86199999999999999</v>
      </c>
      <c r="H919" s="3">
        <v>0.96799999999999997</v>
      </c>
      <c r="I919" s="3">
        <f t="shared" si="14"/>
        <v>3.2000000000000028E-2</v>
      </c>
      <c r="J919">
        <v>42</v>
      </c>
      <c r="K919">
        <v>7</v>
      </c>
      <c r="L919">
        <v>11.7</v>
      </c>
    </row>
    <row r="920" spans="1:12" x14ac:dyDescent="0.2">
      <c r="A920">
        <v>87</v>
      </c>
      <c r="B920">
        <v>4235</v>
      </c>
      <c r="C920">
        <v>129</v>
      </c>
      <c r="D920">
        <v>0.95599999999999996</v>
      </c>
      <c r="E920" s="3">
        <v>2.5000000000000001E-2</v>
      </c>
      <c r="F920">
        <v>0.25900000000000001</v>
      </c>
      <c r="G920">
        <v>0.85899999999999999</v>
      </c>
      <c r="H920" s="3">
        <v>0.97699999999999998</v>
      </c>
      <c r="I920" s="3">
        <f t="shared" si="14"/>
        <v>2.300000000000002E-2</v>
      </c>
      <c r="J920">
        <v>27</v>
      </c>
      <c r="K920">
        <v>19</v>
      </c>
      <c r="L920">
        <v>10.4</v>
      </c>
    </row>
    <row r="921" spans="1:12" x14ac:dyDescent="0.2">
      <c r="A921">
        <v>56</v>
      </c>
      <c r="B921">
        <v>2588</v>
      </c>
      <c r="C921">
        <v>91</v>
      </c>
      <c r="D921">
        <v>0.95699999999999996</v>
      </c>
      <c r="E921" s="3">
        <v>3.3000000000000002E-2</v>
      </c>
      <c r="F921">
        <v>8.2000000000000003E-2</v>
      </c>
      <c r="G921">
        <v>0.71099999999999997</v>
      </c>
      <c r="H921" s="3">
        <v>0.92700000000000005</v>
      </c>
      <c r="I921" s="3">
        <f t="shared" si="14"/>
        <v>7.2999999999999954E-2</v>
      </c>
      <c r="J921">
        <v>23</v>
      </c>
      <c r="K921">
        <v>5</v>
      </c>
      <c r="L921">
        <v>8.3000000000000007</v>
      </c>
    </row>
    <row r="922" spans="1:12" x14ac:dyDescent="0.2">
      <c r="A922">
        <v>64</v>
      </c>
      <c r="B922">
        <v>3158</v>
      </c>
      <c r="C922">
        <v>78</v>
      </c>
      <c r="D922">
        <v>0.95699999999999996</v>
      </c>
      <c r="E922" s="3">
        <v>7.4999999999999997E-2</v>
      </c>
      <c r="F922">
        <v>0.191</v>
      </c>
      <c r="G922">
        <v>0.76</v>
      </c>
      <c r="H922" s="3">
        <v>0.92100000000000004</v>
      </c>
      <c r="I922" s="3">
        <f t="shared" si="14"/>
        <v>7.8999999999999959E-2</v>
      </c>
      <c r="J922">
        <v>16</v>
      </c>
      <c r="K922">
        <v>8</v>
      </c>
      <c r="L922">
        <v>2.2000000000000002</v>
      </c>
    </row>
    <row r="923" spans="1:12" x14ac:dyDescent="0.2">
      <c r="A923">
        <v>81</v>
      </c>
      <c r="B923">
        <v>3905</v>
      </c>
      <c r="C923">
        <v>31</v>
      </c>
      <c r="D923">
        <v>0.95799999999999996</v>
      </c>
      <c r="E923" s="3">
        <v>8.6999999999999994E-2</v>
      </c>
      <c r="F923">
        <v>0.246</v>
      </c>
      <c r="G923">
        <v>0.97099999999999997</v>
      </c>
      <c r="H923" s="3">
        <v>0.99399999999999999</v>
      </c>
      <c r="I923" s="3">
        <f t="shared" si="14"/>
        <v>6.0000000000000053E-3</v>
      </c>
      <c r="J923">
        <v>28</v>
      </c>
      <c r="K923">
        <v>13</v>
      </c>
      <c r="L923">
        <v>11.9</v>
      </c>
    </row>
    <row r="924" spans="1:12" x14ac:dyDescent="0.2">
      <c r="A924">
        <v>97</v>
      </c>
      <c r="B924">
        <v>4657</v>
      </c>
      <c r="C924">
        <v>82</v>
      </c>
      <c r="D924">
        <v>0.95799999999999996</v>
      </c>
      <c r="E924" s="3">
        <v>9.7000000000000003E-2</v>
      </c>
      <c r="F924">
        <v>0.215</v>
      </c>
      <c r="G924">
        <v>0.93300000000000005</v>
      </c>
      <c r="H924" s="3">
        <v>0.97199999999999998</v>
      </c>
      <c r="I924" s="3">
        <f t="shared" si="14"/>
        <v>2.8000000000000025E-2</v>
      </c>
      <c r="J924">
        <v>13</v>
      </c>
      <c r="K924">
        <v>5</v>
      </c>
      <c r="L924">
        <v>2.2999999999999998</v>
      </c>
    </row>
    <row r="925" spans="1:12" x14ac:dyDescent="0.2">
      <c r="A925">
        <v>22</v>
      </c>
      <c r="B925">
        <v>1067</v>
      </c>
      <c r="C925">
        <v>171</v>
      </c>
      <c r="D925">
        <v>0.95899999999999996</v>
      </c>
      <c r="E925" s="3">
        <v>7.1999999999999995E-2</v>
      </c>
      <c r="F925">
        <v>0.19700000000000001</v>
      </c>
      <c r="G925">
        <v>0.96299999999999997</v>
      </c>
      <c r="H925" s="3">
        <v>0.93200000000000005</v>
      </c>
      <c r="I925" s="3">
        <f t="shared" si="14"/>
        <v>6.7999999999999949E-2</v>
      </c>
      <c r="J925">
        <v>15</v>
      </c>
      <c r="K925">
        <v>3</v>
      </c>
      <c r="L925">
        <v>10.199999999999999</v>
      </c>
    </row>
    <row r="926" spans="1:12" x14ac:dyDescent="0.2">
      <c r="A926">
        <v>99</v>
      </c>
      <c r="B926">
        <v>4696</v>
      </c>
      <c r="C926">
        <v>117</v>
      </c>
      <c r="D926">
        <v>0.96</v>
      </c>
      <c r="E926" s="3">
        <v>2.1999999999999999E-2</v>
      </c>
      <c r="F926">
        <v>0.17899999999999999</v>
      </c>
      <c r="G926">
        <v>0.76100000000000001</v>
      </c>
      <c r="H926" s="3">
        <v>0.98499999999999999</v>
      </c>
      <c r="I926" s="3">
        <f t="shared" si="14"/>
        <v>1.5000000000000013E-2</v>
      </c>
      <c r="J926">
        <v>46</v>
      </c>
      <c r="K926">
        <v>18</v>
      </c>
      <c r="L926">
        <v>14.1</v>
      </c>
    </row>
    <row r="927" spans="1:12" x14ac:dyDescent="0.2">
      <c r="A927">
        <v>96</v>
      </c>
      <c r="B927">
        <v>4710</v>
      </c>
      <c r="C927">
        <v>70</v>
      </c>
      <c r="D927">
        <v>0.96099999999999997</v>
      </c>
      <c r="E927" s="3">
        <v>7.8E-2</v>
      </c>
      <c r="F927">
        <v>0.127</v>
      </c>
      <c r="G927">
        <v>0.85699999999999998</v>
      </c>
      <c r="H927" s="3">
        <v>0.96599999999999997</v>
      </c>
      <c r="I927" s="3">
        <f t="shared" si="14"/>
        <v>3.400000000000003E-2</v>
      </c>
      <c r="J927">
        <v>70</v>
      </c>
      <c r="K927">
        <v>10</v>
      </c>
      <c r="L927">
        <v>3.2</v>
      </c>
    </row>
    <row r="928" spans="1:12" x14ac:dyDescent="0.2">
      <c r="A928">
        <v>29</v>
      </c>
      <c r="B928">
        <v>1244</v>
      </c>
      <c r="C928">
        <v>26</v>
      </c>
      <c r="D928">
        <v>0.96199999999999997</v>
      </c>
      <c r="E928" s="3">
        <v>0.192</v>
      </c>
      <c r="F928">
        <v>0.16200000000000001</v>
      </c>
      <c r="G928">
        <v>0.97199999999999998</v>
      </c>
      <c r="H928" s="3">
        <v>0.93300000000000005</v>
      </c>
      <c r="I928" s="3">
        <f t="shared" si="14"/>
        <v>6.6999999999999948E-2</v>
      </c>
      <c r="J928">
        <v>31</v>
      </c>
      <c r="K928">
        <v>14</v>
      </c>
      <c r="L928">
        <v>8.3000000000000007</v>
      </c>
    </row>
    <row r="929" spans="1:12" x14ac:dyDescent="0.2">
      <c r="A929">
        <v>57</v>
      </c>
      <c r="B929">
        <v>2605</v>
      </c>
      <c r="C929">
        <v>87</v>
      </c>
      <c r="D929">
        <v>0.96199999999999997</v>
      </c>
      <c r="E929" s="3">
        <v>0.01</v>
      </c>
      <c r="F929">
        <v>0.21099999999999999</v>
      </c>
      <c r="G929">
        <v>0.72599999999999998</v>
      </c>
      <c r="H929" s="3">
        <v>0.91400000000000003</v>
      </c>
      <c r="I929" s="3">
        <f t="shared" si="14"/>
        <v>8.5999999999999965E-2</v>
      </c>
      <c r="J929">
        <v>74</v>
      </c>
      <c r="K929">
        <v>15</v>
      </c>
      <c r="L929">
        <v>3</v>
      </c>
    </row>
    <row r="930" spans="1:12" x14ac:dyDescent="0.2">
      <c r="A930">
        <v>58</v>
      </c>
      <c r="B930">
        <v>2784</v>
      </c>
      <c r="C930">
        <v>199</v>
      </c>
      <c r="D930">
        <v>0.96199999999999997</v>
      </c>
      <c r="E930" s="3">
        <v>3.5999999999999997E-2</v>
      </c>
      <c r="F930">
        <v>0.17499999999999999</v>
      </c>
      <c r="G930">
        <v>0.80800000000000005</v>
      </c>
      <c r="H930" s="3">
        <v>0.97399999999999998</v>
      </c>
      <c r="I930" s="3">
        <f t="shared" si="14"/>
        <v>2.6000000000000023E-2</v>
      </c>
      <c r="J930">
        <v>98</v>
      </c>
      <c r="K930">
        <v>0</v>
      </c>
      <c r="L930">
        <v>9.6999999999999993</v>
      </c>
    </row>
    <row r="931" spans="1:12" x14ac:dyDescent="0.2">
      <c r="A931">
        <v>70</v>
      </c>
      <c r="B931">
        <v>3373</v>
      </c>
      <c r="C931">
        <v>22</v>
      </c>
      <c r="D931">
        <v>0.96199999999999997</v>
      </c>
      <c r="E931" s="3">
        <v>3.2000000000000001E-2</v>
      </c>
      <c r="F931">
        <v>0.191</v>
      </c>
      <c r="G931">
        <v>0.73699999999999999</v>
      </c>
      <c r="H931" s="3">
        <v>0.997</v>
      </c>
      <c r="I931" s="3">
        <f t="shared" si="14"/>
        <v>3.0000000000000027E-3</v>
      </c>
      <c r="J931">
        <v>81</v>
      </c>
      <c r="K931">
        <v>16</v>
      </c>
      <c r="L931">
        <v>7.7</v>
      </c>
    </row>
    <row r="932" spans="1:12" x14ac:dyDescent="0.2">
      <c r="A932">
        <v>42</v>
      </c>
      <c r="B932">
        <v>1880</v>
      </c>
      <c r="C932">
        <v>44</v>
      </c>
      <c r="D932">
        <v>0.96299999999999997</v>
      </c>
      <c r="E932" s="3">
        <v>0.16700000000000001</v>
      </c>
      <c r="F932">
        <v>0.14399999999999999</v>
      </c>
      <c r="G932">
        <v>0.78300000000000003</v>
      </c>
      <c r="H932" s="3">
        <v>0.90300000000000002</v>
      </c>
      <c r="I932" s="3">
        <f t="shared" si="14"/>
        <v>9.6999999999999975E-2</v>
      </c>
      <c r="J932">
        <v>77</v>
      </c>
      <c r="K932">
        <v>7</v>
      </c>
      <c r="L932">
        <v>11.2</v>
      </c>
    </row>
    <row r="933" spans="1:12" x14ac:dyDescent="0.2">
      <c r="A933">
        <v>74</v>
      </c>
      <c r="B933">
        <v>3438</v>
      </c>
      <c r="C933">
        <v>27</v>
      </c>
      <c r="D933">
        <v>0.96299999999999997</v>
      </c>
      <c r="E933" s="3">
        <v>6.2E-2</v>
      </c>
      <c r="F933">
        <v>0.23899999999999999</v>
      </c>
      <c r="G933">
        <v>0.85299999999999998</v>
      </c>
      <c r="H933" s="3">
        <v>0.97599999999999998</v>
      </c>
      <c r="I933" s="3">
        <f t="shared" si="14"/>
        <v>2.4000000000000021E-2</v>
      </c>
      <c r="J933">
        <v>35</v>
      </c>
      <c r="K933">
        <v>8</v>
      </c>
      <c r="L933">
        <v>1.7</v>
      </c>
    </row>
    <row r="934" spans="1:12" x14ac:dyDescent="0.2">
      <c r="A934">
        <v>99</v>
      </c>
      <c r="B934">
        <v>4722</v>
      </c>
      <c r="C934">
        <v>32</v>
      </c>
      <c r="D934">
        <v>0.96299999999999997</v>
      </c>
      <c r="E934" s="3">
        <v>3.9E-2</v>
      </c>
      <c r="F934">
        <v>5.3999999999999999E-2</v>
      </c>
      <c r="G934">
        <v>0.78800000000000003</v>
      </c>
      <c r="H934" s="3">
        <v>0.97699999999999998</v>
      </c>
      <c r="I934" s="3">
        <f t="shared" si="14"/>
        <v>2.300000000000002E-2</v>
      </c>
      <c r="J934">
        <v>94</v>
      </c>
      <c r="K934">
        <v>9</v>
      </c>
      <c r="L934">
        <v>2.2000000000000002</v>
      </c>
    </row>
    <row r="935" spans="1:12" x14ac:dyDescent="0.2">
      <c r="A935">
        <v>28</v>
      </c>
      <c r="B935">
        <v>1305</v>
      </c>
      <c r="C935">
        <v>57</v>
      </c>
      <c r="D935">
        <v>0.96399999999999997</v>
      </c>
      <c r="E935" s="3">
        <v>1.7999999999999999E-2</v>
      </c>
      <c r="F935">
        <v>0.27</v>
      </c>
      <c r="G935">
        <v>0.89500000000000002</v>
      </c>
      <c r="H935" s="3">
        <v>0.92700000000000005</v>
      </c>
      <c r="I935" s="3">
        <f t="shared" si="14"/>
        <v>7.2999999999999954E-2</v>
      </c>
      <c r="J935">
        <v>25</v>
      </c>
      <c r="K935">
        <v>1</v>
      </c>
      <c r="L935">
        <v>3.1</v>
      </c>
    </row>
    <row r="936" spans="1:12" x14ac:dyDescent="0.2">
      <c r="A936">
        <v>45</v>
      </c>
      <c r="B936">
        <v>2023</v>
      </c>
      <c r="C936">
        <v>124</v>
      </c>
      <c r="D936">
        <v>0.96399999999999997</v>
      </c>
      <c r="E936" s="3">
        <v>4.8000000000000001E-2</v>
      </c>
      <c r="F936">
        <v>0.17799999999999999</v>
      </c>
      <c r="G936">
        <v>0.95499999999999996</v>
      </c>
      <c r="H936" s="3">
        <v>0.91300000000000003</v>
      </c>
      <c r="I936" s="3">
        <f t="shared" si="14"/>
        <v>8.6999999999999966E-2</v>
      </c>
      <c r="J936">
        <v>6</v>
      </c>
      <c r="K936">
        <v>6</v>
      </c>
      <c r="L936">
        <v>8.4</v>
      </c>
    </row>
    <row r="937" spans="1:12" x14ac:dyDescent="0.2">
      <c r="A937">
        <v>67</v>
      </c>
      <c r="B937">
        <v>3211</v>
      </c>
      <c r="C937">
        <v>31</v>
      </c>
      <c r="D937">
        <v>0.96399999999999997</v>
      </c>
      <c r="E937" s="3">
        <v>3.5999999999999997E-2</v>
      </c>
      <c r="F937">
        <v>0.29599999999999999</v>
      </c>
      <c r="G937">
        <v>0.93500000000000005</v>
      </c>
      <c r="H937" s="3">
        <v>0.93400000000000005</v>
      </c>
      <c r="I937" s="3">
        <f t="shared" si="14"/>
        <v>6.5999999999999948E-2</v>
      </c>
      <c r="J937">
        <v>19</v>
      </c>
      <c r="K937">
        <v>17</v>
      </c>
      <c r="L937">
        <v>9.6999999999999993</v>
      </c>
    </row>
    <row r="938" spans="1:12" x14ac:dyDescent="0.2">
      <c r="A938">
        <v>70</v>
      </c>
      <c r="B938">
        <v>3231</v>
      </c>
      <c r="C938">
        <v>119</v>
      </c>
      <c r="D938">
        <v>0.96399999999999997</v>
      </c>
      <c r="E938" s="3">
        <v>0.17799999999999999</v>
      </c>
      <c r="F938">
        <v>0.17100000000000001</v>
      </c>
      <c r="G938">
        <v>0.97</v>
      </c>
      <c r="H938" s="3">
        <v>0.98099999999999998</v>
      </c>
      <c r="I938" s="3">
        <f t="shared" si="14"/>
        <v>1.9000000000000017E-2</v>
      </c>
      <c r="J938">
        <v>53</v>
      </c>
      <c r="K938">
        <v>9</v>
      </c>
      <c r="L938">
        <v>9.1</v>
      </c>
    </row>
    <row r="939" spans="1:12" x14ac:dyDescent="0.2">
      <c r="A939">
        <v>86</v>
      </c>
      <c r="B939">
        <v>4199</v>
      </c>
      <c r="C939">
        <v>92</v>
      </c>
      <c r="D939">
        <v>0.96399999999999997</v>
      </c>
      <c r="E939" s="3">
        <v>1.7999999999999999E-2</v>
      </c>
      <c r="F939">
        <v>0.20100000000000001</v>
      </c>
      <c r="G939">
        <v>0.746</v>
      </c>
      <c r="H939" s="3">
        <v>0.93799999999999994</v>
      </c>
      <c r="I939" s="3">
        <f t="shared" si="14"/>
        <v>6.2000000000000055E-2</v>
      </c>
      <c r="J939">
        <v>36</v>
      </c>
      <c r="K939">
        <v>19</v>
      </c>
      <c r="L939">
        <v>2.5</v>
      </c>
    </row>
    <row r="940" spans="1:12" x14ac:dyDescent="0.2">
      <c r="A940">
        <v>100</v>
      </c>
      <c r="B940">
        <v>4832</v>
      </c>
      <c r="C940">
        <v>115</v>
      </c>
      <c r="D940">
        <v>0.96399999999999997</v>
      </c>
      <c r="E940" s="3">
        <v>5.8999999999999997E-2</v>
      </c>
      <c r="F940">
        <v>0.13400000000000001</v>
      </c>
      <c r="G940">
        <v>0.97399999999999998</v>
      </c>
      <c r="H940" s="3">
        <v>0.99099999999999999</v>
      </c>
      <c r="I940" s="3">
        <f t="shared" si="14"/>
        <v>9.000000000000008E-3</v>
      </c>
      <c r="J940">
        <v>10</v>
      </c>
      <c r="K940">
        <v>6</v>
      </c>
      <c r="L940">
        <v>14</v>
      </c>
    </row>
    <row r="941" spans="1:12" x14ac:dyDescent="0.2">
      <c r="A941">
        <v>103</v>
      </c>
      <c r="B941">
        <v>4972</v>
      </c>
      <c r="C941">
        <v>146</v>
      </c>
      <c r="D941">
        <v>0.96399999999999997</v>
      </c>
      <c r="E941" s="3">
        <v>8.2000000000000003E-2</v>
      </c>
      <c r="F941">
        <v>0.27200000000000002</v>
      </c>
      <c r="G941">
        <v>0.80600000000000005</v>
      </c>
      <c r="H941" s="3">
        <v>0.96</v>
      </c>
      <c r="I941" s="3">
        <f t="shared" si="14"/>
        <v>4.0000000000000036E-2</v>
      </c>
      <c r="J941">
        <v>64</v>
      </c>
      <c r="K941">
        <v>13</v>
      </c>
      <c r="L941">
        <v>14</v>
      </c>
    </row>
    <row r="942" spans="1:12" x14ac:dyDescent="0.2">
      <c r="A942">
        <v>32</v>
      </c>
      <c r="B942">
        <v>1460</v>
      </c>
      <c r="C942">
        <v>71</v>
      </c>
      <c r="D942">
        <v>0.96499999999999997</v>
      </c>
      <c r="E942" s="3">
        <v>0.121</v>
      </c>
      <c r="F942">
        <v>0.20200000000000001</v>
      </c>
      <c r="G942">
        <v>0.71399999999999997</v>
      </c>
      <c r="H942" s="3">
        <v>0.96599999999999997</v>
      </c>
      <c r="I942" s="3">
        <f t="shared" si="14"/>
        <v>3.400000000000003E-2</v>
      </c>
      <c r="J942">
        <v>27</v>
      </c>
      <c r="K942">
        <v>5</v>
      </c>
      <c r="L942">
        <v>2</v>
      </c>
    </row>
    <row r="943" spans="1:12" x14ac:dyDescent="0.2">
      <c r="A943">
        <v>36</v>
      </c>
      <c r="B943">
        <v>1557</v>
      </c>
      <c r="C943">
        <v>14</v>
      </c>
      <c r="D943">
        <v>0.96499999999999997</v>
      </c>
      <c r="E943" s="3">
        <v>4.9000000000000002E-2</v>
      </c>
      <c r="F943">
        <v>0.249</v>
      </c>
      <c r="G943">
        <v>0.94</v>
      </c>
      <c r="H943" s="3">
        <v>0.90100000000000002</v>
      </c>
      <c r="I943" s="3">
        <f t="shared" si="14"/>
        <v>9.8999999999999977E-2</v>
      </c>
      <c r="J943">
        <v>55</v>
      </c>
      <c r="K943">
        <v>3</v>
      </c>
      <c r="L943">
        <v>8</v>
      </c>
    </row>
    <row r="944" spans="1:12" x14ac:dyDescent="0.2">
      <c r="A944">
        <v>95</v>
      </c>
      <c r="B944">
        <v>4563</v>
      </c>
      <c r="C944">
        <v>122</v>
      </c>
      <c r="D944">
        <v>0.96499999999999997</v>
      </c>
      <c r="E944" s="3">
        <v>6.3E-2</v>
      </c>
      <c r="F944">
        <v>0.17699999999999999</v>
      </c>
      <c r="G944">
        <v>0.85399999999999998</v>
      </c>
      <c r="H944" s="3">
        <v>0.96899999999999997</v>
      </c>
      <c r="I944" s="3">
        <f t="shared" si="14"/>
        <v>3.1000000000000028E-2</v>
      </c>
      <c r="J944">
        <v>39</v>
      </c>
      <c r="K944">
        <v>7</v>
      </c>
      <c r="L944">
        <v>5.9</v>
      </c>
    </row>
    <row r="945" spans="1:12" x14ac:dyDescent="0.2">
      <c r="A945">
        <v>24</v>
      </c>
      <c r="B945">
        <v>1159</v>
      </c>
      <c r="C945">
        <v>91</v>
      </c>
      <c r="D945">
        <v>0.96599999999999997</v>
      </c>
      <c r="E945" s="3">
        <v>9.0999999999999998E-2</v>
      </c>
      <c r="F945">
        <v>7.0000000000000007E-2</v>
      </c>
      <c r="G945">
        <v>0.79300000000000004</v>
      </c>
      <c r="H945" s="3">
        <v>0.98099999999999998</v>
      </c>
      <c r="I945" s="3">
        <f t="shared" si="14"/>
        <v>1.9000000000000017E-2</v>
      </c>
      <c r="J945">
        <v>14</v>
      </c>
      <c r="K945">
        <v>12</v>
      </c>
      <c r="L945">
        <v>3.5</v>
      </c>
    </row>
    <row r="946" spans="1:12" x14ac:dyDescent="0.2">
      <c r="A946">
        <v>29</v>
      </c>
      <c r="B946">
        <v>1413</v>
      </c>
      <c r="C946">
        <v>36</v>
      </c>
      <c r="D946">
        <v>0.96599999999999997</v>
      </c>
      <c r="E946" s="3">
        <v>7.4999999999999997E-2</v>
      </c>
      <c r="F946">
        <v>0.26600000000000001</v>
      </c>
      <c r="G946">
        <v>0.92700000000000005</v>
      </c>
      <c r="H946" s="3">
        <v>0.92900000000000005</v>
      </c>
      <c r="I946" s="3">
        <f t="shared" si="14"/>
        <v>7.0999999999999952E-2</v>
      </c>
      <c r="J946">
        <v>67</v>
      </c>
      <c r="K946">
        <v>17</v>
      </c>
      <c r="L946">
        <v>12.8</v>
      </c>
    </row>
    <row r="947" spans="1:12" x14ac:dyDescent="0.2">
      <c r="A947">
        <v>70</v>
      </c>
      <c r="B947">
        <v>3367</v>
      </c>
      <c r="C947">
        <v>143</v>
      </c>
      <c r="D947">
        <v>0.96599999999999997</v>
      </c>
      <c r="E947" s="3">
        <v>2.3E-2</v>
      </c>
      <c r="F947">
        <v>7.4999999999999997E-2</v>
      </c>
      <c r="G947">
        <v>0.73199999999999998</v>
      </c>
      <c r="H947" s="3">
        <v>0.91200000000000003</v>
      </c>
      <c r="I947" s="3">
        <f t="shared" si="14"/>
        <v>8.7999999999999967E-2</v>
      </c>
      <c r="J947">
        <v>30</v>
      </c>
      <c r="K947">
        <v>9</v>
      </c>
      <c r="L947">
        <v>12</v>
      </c>
    </row>
    <row r="948" spans="1:12" x14ac:dyDescent="0.2">
      <c r="A948">
        <v>90</v>
      </c>
      <c r="B948">
        <v>4294</v>
      </c>
      <c r="C948">
        <v>84</v>
      </c>
      <c r="D948">
        <v>0.96599999999999997</v>
      </c>
      <c r="E948" s="3">
        <v>1.2E-2</v>
      </c>
      <c r="F948">
        <v>0.161</v>
      </c>
      <c r="G948">
        <v>0.82499999999999996</v>
      </c>
      <c r="H948" s="3">
        <v>0.92600000000000005</v>
      </c>
      <c r="I948" s="3">
        <f t="shared" si="14"/>
        <v>7.3999999999999955E-2</v>
      </c>
      <c r="J948">
        <v>94</v>
      </c>
      <c r="K948">
        <v>2</v>
      </c>
      <c r="L948">
        <v>13.1</v>
      </c>
    </row>
    <row r="949" spans="1:12" x14ac:dyDescent="0.2">
      <c r="A949">
        <v>35</v>
      </c>
      <c r="B949">
        <v>1614</v>
      </c>
      <c r="C949">
        <v>69</v>
      </c>
      <c r="D949">
        <v>0.96699999999999997</v>
      </c>
      <c r="E949" s="3">
        <v>9.8000000000000004E-2</v>
      </c>
      <c r="F949">
        <v>0.221</v>
      </c>
      <c r="G949">
        <v>0.97</v>
      </c>
      <c r="H949" s="3">
        <v>0.92900000000000005</v>
      </c>
      <c r="I949" s="3">
        <f t="shared" si="14"/>
        <v>7.0999999999999952E-2</v>
      </c>
      <c r="J949">
        <v>81</v>
      </c>
      <c r="K949">
        <v>13</v>
      </c>
      <c r="L949">
        <v>13</v>
      </c>
    </row>
    <row r="950" spans="1:12" x14ac:dyDescent="0.2">
      <c r="A950">
        <v>35</v>
      </c>
      <c r="B950">
        <v>1619</v>
      </c>
      <c r="C950">
        <v>40</v>
      </c>
      <c r="D950">
        <v>0.96699999999999997</v>
      </c>
      <c r="E950" s="3">
        <v>0.127</v>
      </c>
      <c r="F950">
        <v>0.18099999999999999</v>
      </c>
      <c r="G950">
        <v>0.85299999999999998</v>
      </c>
      <c r="H950" s="3">
        <v>0.92700000000000005</v>
      </c>
      <c r="I950" s="3">
        <f t="shared" si="14"/>
        <v>7.2999999999999954E-2</v>
      </c>
      <c r="J950">
        <v>40</v>
      </c>
      <c r="K950">
        <v>2</v>
      </c>
      <c r="L950">
        <v>11.5</v>
      </c>
    </row>
    <row r="951" spans="1:12" x14ac:dyDescent="0.2">
      <c r="A951">
        <v>80</v>
      </c>
      <c r="B951">
        <v>3841</v>
      </c>
      <c r="C951">
        <v>93</v>
      </c>
      <c r="D951">
        <v>0.96699999999999997</v>
      </c>
      <c r="E951" s="3">
        <v>6.8000000000000005E-2</v>
      </c>
      <c r="F951">
        <v>0.21</v>
      </c>
      <c r="G951">
        <v>0.80300000000000005</v>
      </c>
      <c r="H951" s="3">
        <v>0.96899999999999997</v>
      </c>
      <c r="I951" s="3">
        <f t="shared" si="14"/>
        <v>3.1000000000000028E-2</v>
      </c>
      <c r="J951">
        <v>7</v>
      </c>
      <c r="K951">
        <v>10</v>
      </c>
      <c r="L951">
        <v>1.5</v>
      </c>
    </row>
    <row r="952" spans="1:12" x14ac:dyDescent="0.2">
      <c r="A952">
        <v>47</v>
      </c>
      <c r="B952">
        <v>2140</v>
      </c>
      <c r="C952">
        <v>128</v>
      </c>
      <c r="D952">
        <v>0.96899999999999997</v>
      </c>
      <c r="E952" s="3">
        <v>8.8999999999999996E-2</v>
      </c>
      <c r="F952">
        <v>0.27900000000000003</v>
      </c>
      <c r="G952">
        <v>0.83299999999999996</v>
      </c>
      <c r="H952" s="3">
        <v>0.90500000000000003</v>
      </c>
      <c r="I952" s="3">
        <f t="shared" si="14"/>
        <v>9.4999999999999973E-2</v>
      </c>
      <c r="J952">
        <v>67</v>
      </c>
      <c r="K952">
        <v>6</v>
      </c>
      <c r="L952">
        <v>13.4</v>
      </c>
    </row>
    <row r="953" spans="1:12" x14ac:dyDescent="0.2">
      <c r="A953">
        <v>66</v>
      </c>
      <c r="B953">
        <v>3217</v>
      </c>
      <c r="C953">
        <v>92</v>
      </c>
      <c r="D953">
        <v>0.96899999999999997</v>
      </c>
      <c r="E953" s="3">
        <v>0.14599999999999999</v>
      </c>
      <c r="F953">
        <v>0.29799999999999999</v>
      </c>
      <c r="G953">
        <v>0.78100000000000003</v>
      </c>
      <c r="H953" s="3">
        <v>0.97799999999999998</v>
      </c>
      <c r="I953" s="3">
        <f t="shared" si="14"/>
        <v>2.200000000000002E-2</v>
      </c>
      <c r="J953">
        <v>69</v>
      </c>
      <c r="K953">
        <v>7</v>
      </c>
      <c r="L953">
        <v>13</v>
      </c>
    </row>
    <row r="954" spans="1:12" x14ac:dyDescent="0.2">
      <c r="A954">
        <v>83</v>
      </c>
      <c r="B954">
        <v>4094</v>
      </c>
      <c r="C954">
        <v>116</v>
      </c>
      <c r="D954">
        <v>0.96899999999999997</v>
      </c>
      <c r="E954" s="3">
        <v>0.191</v>
      </c>
      <c r="F954">
        <v>7.6999999999999999E-2</v>
      </c>
      <c r="G954">
        <v>0.97099999999999997</v>
      </c>
      <c r="H954" s="3">
        <v>0.96399999999999997</v>
      </c>
      <c r="I954" s="3">
        <f t="shared" si="14"/>
        <v>3.6000000000000032E-2</v>
      </c>
      <c r="J954">
        <v>58</v>
      </c>
      <c r="K954">
        <v>14</v>
      </c>
      <c r="L954">
        <v>12.5</v>
      </c>
    </row>
    <row r="955" spans="1:12" x14ac:dyDescent="0.2">
      <c r="A955">
        <v>85</v>
      </c>
      <c r="B955">
        <v>4209</v>
      </c>
      <c r="C955">
        <v>166</v>
      </c>
      <c r="D955">
        <v>0.96899999999999997</v>
      </c>
      <c r="E955" s="3">
        <v>5.7000000000000002E-2</v>
      </c>
      <c r="F955">
        <v>0.125</v>
      </c>
      <c r="G955">
        <v>0.78100000000000003</v>
      </c>
      <c r="H955" s="3">
        <v>0.99199999999999999</v>
      </c>
      <c r="I955" s="3">
        <f t="shared" si="14"/>
        <v>8.0000000000000071E-3</v>
      </c>
      <c r="J955">
        <v>97</v>
      </c>
      <c r="K955">
        <v>0</v>
      </c>
      <c r="L955">
        <v>6</v>
      </c>
    </row>
    <row r="956" spans="1:12" x14ac:dyDescent="0.2">
      <c r="A956">
        <v>32</v>
      </c>
      <c r="B956">
        <v>1348</v>
      </c>
      <c r="C956">
        <v>187</v>
      </c>
      <c r="D956">
        <v>0.97</v>
      </c>
      <c r="E956" s="3">
        <v>0.19400000000000001</v>
      </c>
      <c r="F956">
        <v>0.13200000000000001</v>
      </c>
      <c r="G956">
        <v>0.89400000000000002</v>
      </c>
      <c r="H956" s="3">
        <v>0.9</v>
      </c>
      <c r="I956" s="3">
        <f t="shared" si="14"/>
        <v>9.9999999999999978E-2</v>
      </c>
      <c r="J956">
        <v>44</v>
      </c>
      <c r="K956">
        <v>1</v>
      </c>
      <c r="L956">
        <v>9.8000000000000007</v>
      </c>
    </row>
    <row r="957" spans="1:12" x14ac:dyDescent="0.2">
      <c r="A957">
        <v>83</v>
      </c>
      <c r="B957">
        <v>4063</v>
      </c>
      <c r="C957">
        <v>133</v>
      </c>
      <c r="D957">
        <v>0.97</v>
      </c>
      <c r="E957" s="3">
        <v>0.17100000000000001</v>
      </c>
      <c r="F957">
        <v>0.28399999999999997</v>
      </c>
      <c r="G957">
        <v>0.878</v>
      </c>
      <c r="H957" s="3">
        <v>0.92900000000000005</v>
      </c>
      <c r="I957" s="3">
        <f t="shared" si="14"/>
        <v>7.0999999999999952E-2</v>
      </c>
      <c r="J957">
        <v>89</v>
      </c>
      <c r="K957">
        <v>17</v>
      </c>
      <c r="L957">
        <v>13</v>
      </c>
    </row>
    <row r="958" spans="1:12" x14ac:dyDescent="0.2">
      <c r="A958">
        <v>31</v>
      </c>
      <c r="B958">
        <v>1442</v>
      </c>
      <c r="C958">
        <v>132</v>
      </c>
      <c r="D958">
        <v>0.97099999999999997</v>
      </c>
      <c r="E958" s="3">
        <v>0.11899999999999999</v>
      </c>
      <c r="F958">
        <v>0.128</v>
      </c>
      <c r="G958">
        <v>0.83199999999999996</v>
      </c>
      <c r="H958" s="3">
        <v>0.91900000000000004</v>
      </c>
      <c r="I958" s="3">
        <f t="shared" si="14"/>
        <v>8.0999999999999961E-2</v>
      </c>
      <c r="J958">
        <v>83</v>
      </c>
      <c r="K958">
        <v>10</v>
      </c>
      <c r="L958">
        <v>13.5</v>
      </c>
    </row>
    <row r="959" spans="1:12" x14ac:dyDescent="0.2">
      <c r="A959">
        <v>35</v>
      </c>
      <c r="B959">
        <v>1579</v>
      </c>
      <c r="C959">
        <v>191</v>
      </c>
      <c r="D959">
        <v>0.97099999999999997</v>
      </c>
      <c r="E959" s="3">
        <v>0.12</v>
      </c>
      <c r="F959">
        <v>9.8000000000000004E-2</v>
      </c>
      <c r="G959">
        <v>0.75600000000000001</v>
      </c>
      <c r="H959" s="3">
        <v>0.98199999999999998</v>
      </c>
      <c r="I959" s="3">
        <f t="shared" si="14"/>
        <v>1.8000000000000016E-2</v>
      </c>
      <c r="J959">
        <v>64</v>
      </c>
      <c r="K959">
        <v>11</v>
      </c>
      <c r="L959">
        <v>10.8</v>
      </c>
    </row>
    <row r="960" spans="1:12" x14ac:dyDescent="0.2">
      <c r="A960">
        <v>102</v>
      </c>
      <c r="B960">
        <v>4953</v>
      </c>
      <c r="C960">
        <v>93</v>
      </c>
      <c r="D960">
        <v>0.97199999999999998</v>
      </c>
      <c r="E960" s="3">
        <v>3.5000000000000003E-2</v>
      </c>
      <c r="F960">
        <v>0.28199999999999997</v>
      </c>
      <c r="G960">
        <v>0.98</v>
      </c>
      <c r="H960" s="3">
        <v>0.91100000000000003</v>
      </c>
      <c r="I960" s="3">
        <f t="shared" si="14"/>
        <v>8.8999999999999968E-2</v>
      </c>
      <c r="J960">
        <v>50</v>
      </c>
      <c r="K960">
        <v>18</v>
      </c>
      <c r="L960">
        <v>3.7</v>
      </c>
    </row>
    <row r="961" spans="1:12" x14ac:dyDescent="0.2">
      <c r="A961">
        <v>95</v>
      </c>
      <c r="B961">
        <v>4573</v>
      </c>
      <c r="C961">
        <v>88</v>
      </c>
      <c r="D961">
        <v>0.97299999999999998</v>
      </c>
      <c r="E961" s="3">
        <v>0.1</v>
      </c>
      <c r="F961">
        <v>8.4000000000000005E-2</v>
      </c>
      <c r="G961">
        <v>0.79100000000000004</v>
      </c>
      <c r="H961" s="3">
        <v>0.94</v>
      </c>
      <c r="I961" s="3">
        <f t="shared" si="14"/>
        <v>6.0000000000000053E-2</v>
      </c>
      <c r="J961">
        <v>42</v>
      </c>
      <c r="K961">
        <v>14</v>
      </c>
      <c r="L961">
        <v>6.7</v>
      </c>
    </row>
    <row r="962" spans="1:12" x14ac:dyDescent="0.2">
      <c r="A962">
        <v>96</v>
      </c>
      <c r="B962">
        <v>4743</v>
      </c>
      <c r="C962">
        <v>193</v>
      </c>
      <c r="D962">
        <v>0.97299999999999998</v>
      </c>
      <c r="E962" s="3">
        <v>6.9000000000000006E-2</v>
      </c>
      <c r="F962">
        <v>0.16600000000000001</v>
      </c>
      <c r="G962">
        <v>0.9</v>
      </c>
      <c r="H962" s="3">
        <v>0.92500000000000004</v>
      </c>
      <c r="I962" s="3">
        <f t="shared" si="14"/>
        <v>7.4999999999999956E-2</v>
      </c>
      <c r="J962">
        <v>11</v>
      </c>
      <c r="K962">
        <v>17</v>
      </c>
      <c r="L962">
        <v>11.5</v>
      </c>
    </row>
    <row r="963" spans="1:12" x14ac:dyDescent="0.2">
      <c r="A963">
        <v>33</v>
      </c>
      <c r="B963">
        <v>1449</v>
      </c>
      <c r="C963">
        <v>189</v>
      </c>
      <c r="D963">
        <v>0.97399999999999998</v>
      </c>
      <c r="E963" s="3">
        <v>0.16200000000000001</v>
      </c>
      <c r="F963">
        <v>0.14000000000000001</v>
      </c>
      <c r="G963">
        <v>0.79300000000000004</v>
      </c>
      <c r="H963" s="3">
        <v>0.95399999999999996</v>
      </c>
      <c r="I963" s="3">
        <f t="shared" ref="I963:I1001" si="15">1-H963</f>
        <v>4.6000000000000041E-2</v>
      </c>
      <c r="J963">
        <v>12</v>
      </c>
      <c r="K963">
        <v>12</v>
      </c>
      <c r="L963">
        <v>7.9</v>
      </c>
    </row>
    <row r="964" spans="1:12" x14ac:dyDescent="0.2">
      <c r="A964">
        <v>65</v>
      </c>
      <c r="B964">
        <v>3121</v>
      </c>
      <c r="C964">
        <v>181</v>
      </c>
      <c r="D964">
        <v>0.97399999999999998</v>
      </c>
      <c r="E964" s="3">
        <v>9.5000000000000001E-2</v>
      </c>
      <c r="F964">
        <v>0.189</v>
      </c>
      <c r="G964">
        <v>0.72699999999999998</v>
      </c>
      <c r="H964" s="3">
        <v>0.997</v>
      </c>
      <c r="I964" s="3">
        <f t="shared" si="15"/>
        <v>3.0000000000000027E-3</v>
      </c>
      <c r="J964">
        <v>23</v>
      </c>
      <c r="K964">
        <v>8</v>
      </c>
      <c r="L964">
        <v>6.1</v>
      </c>
    </row>
    <row r="965" spans="1:12" x14ac:dyDescent="0.2">
      <c r="A965">
        <v>68</v>
      </c>
      <c r="B965">
        <v>3172</v>
      </c>
      <c r="C965">
        <v>70</v>
      </c>
      <c r="D965">
        <v>0.97399999999999998</v>
      </c>
      <c r="E965" s="3">
        <v>0.112</v>
      </c>
      <c r="F965">
        <v>0.192</v>
      </c>
      <c r="G965">
        <v>0.85799999999999998</v>
      </c>
      <c r="H965" s="3">
        <v>0.95399999999999996</v>
      </c>
      <c r="I965" s="3">
        <f t="shared" si="15"/>
        <v>4.6000000000000041E-2</v>
      </c>
      <c r="J965">
        <v>87</v>
      </c>
      <c r="K965">
        <v>8</v>
      </c>
      <c r="L965">
        <v>2.4</v>
      </c>
    </row>
    <row r="966" spans="1:12" x14ac:dyDescent="0.2">
      <c r="A966">
        <v>36</v>
      </c>
      <c r="B966">
        <v>1656</v>
      </c>
      <c r="C966">
        <v>11</v>
      </c>
      <c r="D966">
        <v>0.97499999999999998</v>
      </c>
      <c r="E966" s="3">
        <v>0.106</v>
      </c>
      <c r="F966">
        <v>0.16200000000000001</v>
      </c>
      <c r="G966">
        <v>0.89200000000000002</v>
      </c>
      <c r="H966" s="3">
        <v>0.94099999999999995</v>
      </c>
      <c r="I966" s="3">
        <f t="shared" si="15"/>
        <v>5.9000000000000052E-2</v>
      </c>
      <c r="J966">
        <v>83</v>
      </c>
      <c r="K966">
        <v>1</v>
      </c>
      <c r="L966">
        <v>13.9</v>
      </c>
    </row>
    <row r="967" spans="1:12" x14ac:dyDescent="0.2">
      <c r="A967">
        <v>27</v>
      </c>
      <c r="B967">
        <v>1194</v>
      </c>
      <c r="C967">
        <v>101</v>
      </c>
      <c r="D967">
        <v>0.97599999999999998</v>
      </c>
      <c r="E967" s="3">
        <v>0.14599999999999999</v>
      </c>
      <c r="F967">
        <v>0.21299999999999999</v>
      </c>
      <c r="G967">
        <v>0.73299999999999998</v>
      </c>
      <c r="H967" s="3">
        <v>0.93700000000000006</v>
      </c>
      <c r="I967" s="3">
        <f t="shared" si="15"/>
        <v>6.2999999999999945E-2</v>
      </c>
      <c r="J967">
        <v>50</v>
      </c>
      <c r="K967">
        <v>15</v>
      </c>
      <c r="L967">
        <v>10.5</v>
      </c>
    </row>
    <row r="968" spans="1:12" x14ac:dyDescent="0.2">
      <c r="A968">
        <v>52</v>
      </c>
      <c r="B968">
        <v>2548</v>
      </c>
      <c r="C968">
        <v>140</v>
      </c>
      <c r="D968">
        <v>0.97599999999999998</v>
      </c>
      <c r="E968" s="3">
        <v>0.08</v>
      </c>
      <c r="F968">
        <v>0.17299999999999999</v>
      </c>
      <c r="G968">
        <v>0.70799999999999996</v>
      </c>
      <c r="H968" s="3">
        <v>0.92</v>
      </c>
      <c r="I968" s="3">
        <f t="shared" si="15"/>
        <v>7.999999999999996E-2</v>
      </c>
      <c r="J968">
        <v>16</v>
      </c>
      <c r="K968">
        <v>11</v>
      </c>
      <c r="L968">
        <v>9.1</v>
      </c>
    </row>
    <row r="969" spans="1:12" x14ac:dyDescent="0.2">
      <c r="A969">
        <v>98</v>
      </c>
      <c r="B969">
        <v>4630</v>
      </c>
      <c r="C969">
        <v>81</v>
      </c>
      <c r="D969">
        <v>0.97599999999999998</v>
      </c>
      <c r="E969" s="3">
        <v>0.13300000000000001</v>
      </c>
      <c r="F969">
        <v>0.27700000000000002</v>
      </c>
      <c r="G969">
        <v>0.96199999999999997</v>
      </c>
      <c r="H969" s="3">
        <v>0.98299999999999998</v>
      </c>
      <c r="I969" s="3">
        <f t="shared" si="15"/>
        <v>1.7000000000000015E-2</v>
      </c>
      <c r="J969">
        <v>23</v>
      </c>
      <c r="K969">
        <v>14</v>
      </c>
      <c r="L969">
        <v>6.8</v>
      </c>
    </row>
    <row r="970" spans="1:12" x14ac:dyDescent="0.2">
      <c r="A970">
        <v>48</v>
      </c>
      <c r="B970">
        <v>2135</v>
      </c>
      <c r="C970">
        <v>196</v>
      </c>
      <c r="D970">
        <v>0.97699999999999998</v>
      </c>
      <c r="E970" s="3">
        <v>0.02</v>
      </c>
      <c r="F970">
        <v>0.153</v>
      </c>
      <c r="G970">
        <v>0.89600000000000002</v>
      </c>
      <c r="H970" s="3">
        <v>0.94699999999999995</v>
      </c>
      <c r="I970" s="3">
        <f t="shared" si="15"/>
        <v>5.3000000000000047E-2</v>
      </c>
      <c r="J970">
        <v>23</v>
      </c>
      <c r="K970">
        <v>16</v>
      </c>
      <c r="L970">
        <v>1</v>
      </c>
    </row>
    <row r="971" spans="1:12" x14ac:dyDescent="0.2">
      <c r="A971">
        <v>91</v>
      </c>
      <c r="B971">
        <v>4384</v>
      </c>
      <c r="C971">
        <v>129</v>
      </c>
      <c r="D971">
        <v>0.97699999999999998</v>
      </c>
      <c r="E971" s="3">
        <v>4.2000000000000003E-2</v>
      </c>
      <c r="F971">
        <v>0.17899999999999999</v>
      </c>
      <c r="G971">
        <v>0.78500000000000003</v>
      </c>
      <c r="H971" s="3">
        <v>0.9</v>
      </c>
      <c r="I971" s="3">
        <f t="shared" si="15"/>
        <v>9.9999999999999978E-2</v>
      </c>
      <c r="J971">
        <v>52</v>
      </c>
      <c r="K971">
        <v>13</v>
      </c>
      <c r="L971">
        <v>13.3</v>
      </c>
    </row>
    <row r="972" spans="1:12" x14ac:dyDescent="0.2">
      <c r="A972">
        <v>32</v>
      </c>
      <c r="B972">
        <v>1541</v>
      </c>
      <c r="C972">
        <v>77</v>
      </c>
      <c r="D972">
        <v>0.97799999999999998</v>
      </c>
      <c r="E972" s="3">
        <v>8.2000000000000003E-2</v>
      </c>
      <c r="F972">
        <v>0.16500000000000001</v>
      </c>
      <c r="G972">
        <v>0.78900000000000003</v>
      </c>
      <c r="H972" s="3">
        <v>0.92100000000000004</v>
      </c>
      <c r="I972" s="3">
        <f t="shared" si="15"/>
        <v>7.8999999999999959E-2</v>
      </c>
      <c r="J972">
        <v>26</v>
      </c>
      <c r="K972">
        <v>18</v>
      </c>
      <c r="L972">
        <v>7.7</v>
      </c>
    </row>
    <row r="973" spans="1:12" x14ac:dyDescent="0.2">
      <c r="A973">
        <v>46</v>
      </c>
      <c r="B973">
        <v>2091</v>
      </c>
      <c r="C973">
        <v>47</v>
      </c>
      <c r="D973">
        <v>0.97799999999999998</v>
      </c>
      <c r="E973" s="3">
        <v>0.1</v>
      </c>
      <c r="F973">
        <v>7.1999999999999995E-2</v>
      </c>
      <c r="G973">
        <v>0.93600000000000005</v>
      </c>
      <c r="H973" s="3">
        <v>0.97899999999999998</v>
      </c>
      <c r="I973" s="3">
        <f t="shared" si="15"/>
        <v>2.1000000000000019E-2</v>
      </c>
      <c r="J973">
        <v>97</v>
      </c>
      <c r="K973">
        <v>0</v>
      </c>
      <c r="L973">
        <v>12.3</v>
      </c>
    </row>
    <row r="974" spans="1:12" x14ac:dyDescent="0.2">
      <c r="A974">
        <v>47</v>
      </c>
      <c r="B974">
        <v>2227</v>
      </c>
      <c r="C974">
        <v>105</v>
      </c>
      <c r="D974">
        <v>0.97799999999999998</v>
      </c>
      <c r="E974" s="3">
        <v>0.113</v>
      </c>
      <c r="F974">
        <v>7.1999999999999995E-2</v>
      </c>
      <c r="G974">
        <v>0.93200000000000005</v>
      </c>
      <c r="H974" s="3">
        <v>0.91100000000000003</v>
      </c>
      <c r="I974" s="3">
        <f t="shared" si="15"/>
        <v>8.8999999999999968E-2</v>
      </c>
      <c r="J974">
        <v>51</v>
      </c>
      <c r="K974">
        <v>2</v>
      </c>
      <c r="L974">
        <v>4.5</v>
      </c>
    </row>
    <row r="975" spans="1:12" x14ac:dyDescent="0.2">
      <c r="A975">
        <v>76</v>
      </c>
      <c r="B975">
        <v>3667</v>
      </c>
      <c r="C975">
        <v>71</v>
      </c>
      <c r="D975">
        <v>0.97799999999999998</v>
      </c>
      <c r="E975" s="3">
        <v>2.3E-2</v>
      </c>
      <c r="F975">
        <v>0.13900000000000001</v>
      </c>
      <c r="G975">
        <v>0.76500000000000001</v>
      </c>
      <c r="H975" s="3">
        <v>0.91400000000000003</v>
      </c>
      <c r="I975" s="3">
        <f t="shared" si="15"/>
        <v>8.5999999999999965E-2</v>
      </c>
      <c r="J975">
        <v>87</v>
      </c>
      <c r="K975">
        <v>15</v>
      </c>
      <c r="L975">
        <v>7</v>
      </c>
    </row>
    <row r="976" spans="1:12" x14ac:dyDescent="0.2">
      <c r="A976">
        <v>86</v>
      </c>
      <c r="B976">
        <v>4175</v>
      </c>
      <c r="C976">
        <v>41</v>
      </c>
      <c r="D976">
        <v>0.97899999999999998</v>
      </c>
      <c r="E976" s="3">
        <v>0.19</v>
      </c>
      <c r="F976">
        <v>0.10299999999999999</v>
      </c>
      <c r="G976">
        <v>0.82099999999999995</v>
      </c>
      <c r="H976" s="3">
        <v>0.98199999999999998</v>
      </c>
      <c r="I976" s="3">
        <f t="shared" si="15"/>
        <v>1.8000000000000016E-2</v>
      </c>
      <c r="J976">
        <v>64</v>
      </c>
      <c r="K976">
        <v>3</v>
      </c>
      <c r="L976">
        <v>5.4</v>
      </c>
    </row>
    <row r="977" spans="1:12" x14ac:dyDescent="0.2">
      <c r="A977">
        <v>98</v>
      </c>
      <c r="B977">
        <v>4823</v>
      </c>
      <c r="C977">
        <v>118</v>
      </c>
      <c r="D977">
        <v>0.97899999999999998</v>
      </c>
      <c r="E977" s="3">
        <v>0.107</v>
      </c>
      <c r="F977">
        <v>0.11899999999999999</v>
      </c>
      <c r="G977">
        <v>0.71899999999999997</v>
      </c>
      <c r="H977" s="3">
        <v>0.93899999999999995</v>
      </c>
      <c r="I977" s="3">
        <f t="shared" si="15"/>
        <v>6.1000000000000054E-2</v>
      </c>
      <c r="J977">
        <v>18</v>
      </c>
      <c r="K977">
        <v>12</v>
      </c>
      <c r="L977">
        <v>1.7</v>
      </c>
    </row>
    <row r="978" spans="1:12" x14ac:dyDescent="0.2">
      <c r="A978">
        <v>90</v>
      </c>
      <c r="B978">
        <v>4361</v>
      </c>
      <c r="C978">
        <v>195</v>
      </c>
      <c r="D978">
        <v>0.98</v>
      </c>
      <c r="E978" s="3">
        <v>8.5999999999999993E-2</v>
      </c>
      <c r="F978">
        <v>0.248</v>
      </c>
      <c r="G978">
        <v>0.83</v>
      </c>
      <c r="H978" s="3">
        <v>0.96</v>
      </c>
      <c r="I978" s="3">
        <f t="shared" si="15"/>
        <v>4.0000000000000036E-2</v>
      </c>
      <c r="J978">
        <v>39</v>
      </c>
      <c r="K978">
        <v>1</v>
      </c>
      <c r="L978">
        <v>8</v>
      </c>
    </row>
    <row r="979" spans="1:12" x14ac:dyDescent="0.2">
      <c r="A979">
        <v>97</v>
      </c>
      <c r="B979">
        <v>4797</v>
      </c>
      <c r="C979">
        <v>166</v>
      </c>
      <c r="D979">
        <v>0.98</v>
      </c>
      <c r="E979" s="3">
        <v>0.1</v>
      </c>
      <c r="F979">
        <v>0.248</v>
      </c>
      <c r="G979">
        <v>0.75800000000000001</v>
      </c>
      <c r="H979" s="3">
        <v>0.997</v>
      </c>
      <c r="I979" s="3">
        <f t="shared" si="15"/>
        <v>3.0000000000000027E-3</v>
      </c>
      <c r="J979">
        <v>53</v>
      </c>
      <c r="K979">
        <v>11</v>
      </c>
      <c r="L979">
        <v>10.8</v>
      </c>
    </row>
    <row r="980" spans="1:12" x14ac:dyDescent="0.2">
      <c r="A980">
        <v>56</v>
      </c>
      <c r="B980">
        <v>2736</v>
      </c>
      <c r="C980">
        <v>113</v>
      </c>
      <c r="D980">
        <v>0.98099999999999998</v>
      </c>
      <c r="E980" s="3">
        <v>0.127</v>
      </c>
      <c r="F980">
        <v>0.22800000000000001</v>
      </c>
      <c r="G980">
        <v>0.77700000000000002</v>
      </c>
      <c r="H980" s="3">
        <v>0.92700000000000005</v>
      </c>
      <c r="I980" s="3">
        <f t="shared" si="15"/>
        <v>7.2999999999999954E-2</v>
      </c>
      <c r="J980">
        <v>59</v>
      </c>
      <c r="K980">
        <v>12</v>
      </c>
      <c r="L980">
        <v>11.8</v>
      </c>
    </row>
    <row r="981" spans="1:12" x14ac:dyDescent="0.2">
      <c r="A981">
        <v>90</v>
      </c>
      <c r="B981">
        <v>4414</v>
      </c>
      <c r="C981">
        <v>197</v>
      </c>
      <c r="D981">
        <v>0.98099999999999998</v>
      </c>
      <c r="E981" s="3">
        <v>0.183</v>
      </c>
      <c r="F981">
        <v>0.14299999999999999</v>
      </c>
      <c r="G981">
        <v>0.96599999999999997</v>
      </c>
      <c r="H981" s="3">
        <v>0.93400000000000005</v>
      </c>
      <c r="I981" s="3">
        <f t="shared" si="15"/>
        <v>6.5999999999999948E-2</v>
      </c>
      <c r="J981">
        <v>91</v>
      </c>
      <c r="K981">
        <v>7</v>
      </c>
      <c r="L981">
        <v>7.4</v>
      </c>
    </row>
    <row r="982" spans="1:12" x14ac:dyDescent="0.2">
      <c r="A982">
        <v>44</v>
      </c>
      <c r="B982">
        <v>2123</v>
      </c>
      <c r="C982">
        <v>184</v>
      </c>
      <c r="D982">
        <v>0.98199999999999998</v>
      </c>
      <c r="E982" s="3">
        <v>7.3999999999999996E-2</v>
      </c>
      <c r="F982">
        <v>0.13400000000000001</v>
      </c>
      <c r="G982">
        <v>0.84399999999999997</v>
      </c>
      <c r="H982" s="3">
        <v>0.93300000000000005</v>
      </c>
      <c r="I982" s="3">
        <f t="shared" si="15"/>
        <v>6.6999999999999948E-2</v>
      </c>
      <c r="J982">
        <v>33</v>
      </c>
      <c r="K982">
        <v>2</v>
      </c>
      <c r="L982">
        <v>7.2</v>
      </c>
    </row>
    <row r="983" spans="1:12" x14ac:dyDescent="0.2">
      <c r="A983">
        <v>68</v>
      </c>
      <c r="B983">
        <v>3334</v>
      </c>
      <c r="C983">
        <v>191</v>
      </c>
      <c r="D983">
        <v>0.98199999999999998</v>
      </c>
      <c r="E983" s="3">
        <v>7.2999999999999995E-2</v>
      </c>
      <c r="F983">
        <v>0.10299999999999999</v>
      </c>
      <c r="G983">
        <v>0.86</v>
      </c>
      <c r="H983" s="3">
        <v>0.95799999999999996</v>
      </c>
      <c r="I983" s="3">
        <f t="shared" si="15"/>
        <v>4.2000000000000037E-2</v>
      </c>
      <c r="J983">
        <v>33</v>
      </c>
      <c r="K983">
        <v>2</v>
      </c>
      <c r="L983">
        <v>9.1</v>
      </c>
    </row>
    <row r="984" spans="1:12" x14ac:dyDescent="0.2">
      <c r="A984">
        <v>85</v>
      </c>
      <c r="B984">
        <v>4162</v>
      </c>
      <c r="C984">
        <v>192</v>
      </c>
      <c r="D984">
        <v>0.98199999999999998</v>
      </c>
      <c r="E984" s="3">
        <v>4.8000000000000001E-2</v>
      </c>
      <c r="F984">
        <v>0.185</v>
      </c>
      <c r="G984">
        <v>0.90500000000000003</v>
      </c>
      <c r="H984" s="3">
        <v>0.96799999999999997</v>
      </c>
      <c r="I984" s="3">
        <f t="shared" si="15"/>
        <v>3.2000000000000028E-2</v>
      </c>
      <c r="J984">
        <v>18</v>
      </c>
      <c r="K984">
        <v>1</v>
      </c>
      <c r="L984">
        <v>2.2999999999999998</v>
      </c>
    </row>
    <row r="985" spans="1:12" x14ac:dyDescent="0.2">
      <c r="A985">
        <v>102</v>
      </c>
      <c r="B985">
        <v>4858</v>
      </c>
      <c r="C985">
        <v>74</v>
      </c>
      <c r="D985">
        <v>0.98199999999999998</v>
      </c>
      <c r="E985" s="3">
        <v>4.7E-2</v>
      </c>
      <c r="F985">
        <v>0.155</v>
      </c>
      <c r="G985">
        <v>0.76200000000000001</v>
      </c>
      <c r="H985" s="3">
        <v>0.90500000000000003</v>
      </c>
      <c r="I985" s="3">
        <f t="shared" si="15"/>
        <v>9.4999999999999973E-2</v>
      </c>
      <c r="J985">
        <v>96</v>
      </c>
      <c r="K985">
        <v>15</v>
      </c>
      <c r="L985">
        <v>9.9</v>
      </c>
    </row>
    <row r="986" spans="1:12" x14ac:dyDescent="0.2">
      <c r="A986">
        <v>51</v>
      </c>
      <c r="B986">
        <v>2275</v>
      </c>
      <c r="C986">
        <v>57</v>
      </c>
      <c r="D986">
        <v>0.98299999999999998</v>
      </c>
      <c r="E986" s="3">
        <v>3.9E-2</v>
      </c>
      <c r="F986">
        <v>0.152</v>
      </c>
      <c r="G986">
        <v>0.91400000000000003</v>
      </c>
      <c r="H986" s="3">
        <v>0.98899999999999999</v>
      </c>
      <c r="I986" s="3">
        <f t="shared" si="15"/>
        <v>1.100000000000001E-2</v>
      </c>
      <c r="J986">
        <v>92</v>
      </c>
      <c r="K986">
        <v>3</v>
      </c>
      <c r="L986">
        <v>3.8</v>
      </c>
    </row>
    <row r="987" spans="1:12" x14ac:dyDescent="0.2">
      <c r="A987">
        <v>31</v>
      </c>
      <c r="B987">
        <v>1276</v>
      </c>
      <c r="C987">
        <v>19</v>
      </c>
      <c r="D987">
        <v>0.98399999999999999</v>
      </c>
      <c r="E987" s="3">
        <v>4.5999999999999999E-2</v>
      </c>
      <c r="F987">
        <v>0.254</v>
      </c>
      <c r="G987">
        <v>0.83499999999999996</v>
      </c>
      <c r="H987" s="3">
        <v>0.93100000000000005</v>
      </c>
      <c r="I987" s="3">
        <f t="shared" si="15"/>
        <v>6.899999999999995E-2</v>
      </c>
      <c r="J987">
        <v>44</v>
      </c>
      <c r="K987">
        <v>15</v>
      </c>
      <c r="L987">
        <v>1.3</v>
      </c>
    </row>
    <row r="988" spans="1:12" x14ac:dyDescent="0.2">
      <c r="A988">
        <v>35</v>
      </c>
      <c r="B988">
        <v>1664</v>
      </c>
      <c r="C988">
        <v>69</v>
      </c>
      <c r="D988">
        <v>0.98499999999999999</v>
      </c>
      <c r="E988" s="3">
        <v>0.11700000000000001</v>
      </c>
      <c r="F988">
        <v>0.20599999999999999</v>
      </c>
      <c r="G988">
        <v>0.95699999999999996</v>
      </c>
      <c r="H988" s="3">
        <v>0.97899999999999998</v>
      </c>
      <c r="I988" s="3">
        <f t="shared" si="15"/>
        <v>2.1000000000000019E-2</v>
      </c>
      <c r="J988">
        <v>9</v>
      </c>
      <c r="K988">
        <v>0</v>
      </c>
      <c r="L988">
        <v>13.2</v>
      </c>
    </row>
    <row r="989" spans="1:12" x14ac:dyDescent="0.2">
      <c r="A989">
        <v>57</v>
      </c>
      <c r="B989">
        <v>2629</v>
      </c>
      <c r="C989">
        <v>154</v>
      </c>
      <c r="D989">
        <v>0.98499999999999999</v>
      </c>
      <c r="E989" s="3">
        <v>8.2000000000000003E-2</v>
      </c>
      <c r="F989">
        <v>0.109</v>
      </c>
      <c r="G989">
        <v>0.94199999999999995</v>
      </c>
      <c r="H989" s="3">
        <v>0.91</v>
      </c>
      <c r="I989" s="3">
        <f t="shared" si="15"/>
        <v>8.9999999999999969E-2</v>
      </c>
      <c r="J989">
        <v>75</v>
      </c>
      <c r="K989">
        <v>10</v>
      </c>
      <c r="L989">
        <v>10.7</v>
      </c>
    </row>
    <row r="990" spans="1:12" x14ac:dyDescent="0.2">
      <c r="A990">
        <v>71</v>
      </c>
      <c r="B990">
        <v>3442</v>
      </c>
      <c r="C990">
        <v>62</v>
      </c>
      <c r="D990">
        <v>0.98599999999999999</v>
      </c>
      <c r="E990" s="3">
        <v>0.107</v>
      </c>
      <c r="F990">
        <v>0.219</v>
      </c>
      <c r="G990">
        <v>0.94899999999999995</v>
      </c>
      <c r="H990" s="3">
        <v>0.90700000000000003</v>
      </c>
      <c r="I990" s="3">
        <f t="shared" si="15"/>
        <v>9.2999999999999972E-2</v>
      </c>
      <c r="J990">
        <v>26</v>
      </c>
      <c r="K990">
        <v>10</v>
      </c>
      <c r="L990">
        <v>8.6999999999999993</v>
      </c>
    </row>
    <row r="991" spans="1:12" x14ac:dyDescent="0.2">
      <c r="A991">
        <v>84</v>
      </c>
      <c r="B991">
        <v>4081</v>
      </c>
      <c r="C991">
        <v>197</v>
      </c>
      <c r="D991">
        <v>0.98599999999999999</v>
      </c>
      <c r="E991" s="3">
        <v>1.9E-2</v>
      </c>
      <c r="F991">
        <v>0.111</v>
      </c>
      <c r="G991">
        <v>0.879</v>
      </c>
      <c r="H991" s="3">
        <v>0.99299999999999999</v>
      </c>
      <c r="I991" s="3">
        <f t="shared" si="15"/>
        <v>7.0000000000000062E-3</v>
      </c>
      <c r="J991">
        <v>44</v>
      </c>
      <c r="K991">
        <v>0</v>
      </c>
      <c r="L991">
        <v>6.1</v>
      </c>
    </row>
    <row r="992" spans="1:12" x14ac:dyDescent="0.2">
      <c r="A992">
        <v>88</v>
      </c>
      <c r="B992">
        <v>4226</v>
      </c>
      <c r="C992">
        <v>183</v>
      </c>
      <c r="D992">
        <v>0.98599999999999999</v>
      </c>
      <c r="E992" s="3">
        <v>7.5999999999999998E-2</v>
      </c>
      <c r="F992">
        <v>6.5000000000000002E-2</v>
      </c>
      <c r="G992">
        <v>0.80500000000000005</v>
      </c>
      <c r="H992" s="3">
        <v>0.94499999999999995</v>
      </c>
      <c r="I992" s="3">
        <f t="shared" si="15"/>
        <v>5.5000000000000049E-2</v>
      </c>
      <c r="J992">
        <v>88</v>
      </c>
      <c r="K992">
        <v>16</v>
      </c>
      <c r="L992">
        <v>8</v>
      </c>
    </row>
    <row r="993" spans="1:12" x14ac:dyDescent="0.2">
      <c r="A993">
        <v>30</v>
      </c>
      <c r="B993">
        <v>1430</v>
      </c>
      <c r="C993">
        <v>160</v>
      </c>
      <c r="D993">
        <v>0.98699999999999999</v>
      </c>
      <c r="E993" s="3">
        <v>0.124</v>
      </c>
      <c r="F993">
        <v>0.108</v>
      </c>
      <c r="G993">
        <v>0.87</v>
      </c>
      <c r="H993" s="3">
        <v>0.91100000000000003</v>
      </c>
      <c r="I993" s="3">
        <f t="shared" si="15"/>
        <v>8.8999999999999968E-2</v>
      </c>
      <c r="J993">
        <v>75</v>
      </c>
      <c r="K993">
        <v>13</v>
      </c>
      <c r="L993">
        <v>6</v>
      </c>
    </row>
    <row r="994" spans="1:12" x14ac:dyDescent="0.2">
      <c r="A994">
        <v>47</v>
      </c>
      <c r="B994">
        <v>2259</v>
      </c>
      <c r="C994">
        <v>127</v>
      </c>
      <c r="D994">
        <v>0.98699999999999999</v>
      </c>
      <c r="E994" s="3">
        <v>7.5999999999999998E-2</v>
      </c>
      <c r="F994">
        <v>0.25800000000000001</v>
      </c>
      <c r="G994">
        <v>0.96399999999999997</v>
      </c>
      <c r="H994" s="3">
        <v>0.95499999999999996</v>
      </c>
      <c r="I994" s="3">
        <f t="shared" si="15"/>
        <v>4.500000000000004E-2</v>
      </c>
      <c r="J994">
        <v>91</v>
      </c>
      <c r="K994">
        <v>5</v>
      </c>
      <c r="L994">
        <v>7</v>
      </c>
    </row>
    <row r="995" spans="1:12" x14ac:dyDescent="0.2">
      <c r="A995">
        <v>79</v>
      </c>
      <c r="B995">
        <v>3780</v>
      </c>
      <c r="C995">
        <v>21</v>
      </c>
      <c r="D995">
        <v>0.98699999999999999</v>
      </c>
      <c r="E995" s="3">
        <v>6.9000000000000006E-2</v>
      </c>
      <c r="F995">
        <v>0.25600000000000001</v>
      </c>
      <c r="G995">
        <v>0.71099999999999997</v>
      </c>
      <c r="H995" s="3">
        <v>0.92800000000000005</v>
      </c>
      <c r="I995" s="3">
        <f t="shared" si="15"/>
        <v>7.1999999999999953E-2</v>
      </c>
      <c r="J995">
        <v>34</v>
      </c>
      <c r="K995">
        <v>15</v>
      </c>
      <c r="L995">
        <v>7.9</v>
      </c>
    </row>
    <row r="996" spans="1:12" x14ac:dyDescent="0.2">
      <c r="A996">
        <v>86</v>
      </c>
      <c r="B996">
        <v>4088</v>
      </c>
      <c r="C996">
        <v>17</v>
      </c>
      <c r="D996">
        <v>0.98699999999999999</v>
      </c>
      <c r="E996" s="3">
        <v>1.6E-2</v>
      </c>
      <c r="F996">
        <v>8.2000000000000003E-2</v>
      </c>
      <c r="G996">
        <v>0.78100000000000003</v>
      </c>
      <c r="H996" s="3">
        <v>0.96299999999999997</v>
      </c>
      <c r="I996" s="3">
        <f t="shared" si="15"/>
        <v>3.7000000000000033E-2</v>
      </c>
      <c r="J996">
        <v>97</v>
      </c>
      <c r="K996">
        <v>15</v>
      </c>
      <c r="L996">
        <v>8.1999999999999993</v>
      </c>
    </row>
    <row r="997" spans="1:12" x14ac:dyDescent="0.2">
      <c r="A997">
        <v>80</v>
      </c>
      <c r="B997">
        <v>3803</v>
      </c>
      <c r="C997">
        <v>116</v>
      </c>
      <c r="D997">
        <v>0.98799999999999999</v>
      </c>
      <c r="E997" s="3">
        <v>0.16500000000000001</v>
      </c>
      <c r="F997">
        <v>0.182</v>
      </c>
      <c r="G997">
        <v>0.83799999999999997</v>
      </c>
      <c r="H997" s="3">
        <v>0.92900000000000005</v>
      </c>
      <c r="I997" s="3">
        <f t="shared" si="15"/>
        <v>7.0999999999999952E-2</v>
      </c>
      <c r="J997">
        <v>49</v>
      </c>
      <c r="K997">
        <v>10</v>
      </c>
      <c r="L997">
        <v>5.0999999999999996</v>
      </c>
    </row>
    <row r="998" spans="1:12" x14ac:dyDescent="0.2">
      <c r="A998">
        <v>44</v>
      </c>
      <c r="B998">
        <v>2072</v>
      </c>
      <c r="C998">
        <v>131</v>
      </c>
      <c r="D998">
        <v>0.98899999999999999</v>
      </c>
      <c r="E998" s="3">
        <v>2.3E-2</v>
      </c>
      <c r="F998">
        <v>0.20499999999999999</v>
      </c>
      <c r="G998">
        <v>0.71499999999999997</v>
      </c>
      <c r="H998" s="3">
        <v>0.92500000000000004</v>
      </c>
      <c r="I998" s="3">
        <f t="shared" si="15"/>
        <v>7.4999999999999956E-2</v>
      </c>
      <c r="J998">
        <v>51</v>
      </c>
      <c r="K998">
        <v>8</v>
      </c>
      <c r="L998">
        <v>3.3</v>
      </c>
    </row>
    <row r="999" spans="1:12" x14ac:dyDescent="0.2">
      <c r="A999">
        <v>57</v>
      </c>
      <c r="B999">
        <v>2638</v>
      </c>
      <c r="C999">
        <v>124</v>
      </c>
      <c r="D999">
        <v>0.98899999999999999</v>
      </c>
      <c r="E999" s="3">
        <v>0.13100000000000001</v>
      </c>
      <c r="F999">
        <v>0.28899999999999998</v>
      </c>
      <c r="G999">
        <v>0.93500000000000005</v>
      </c>
      <c r="H999" s="3">
        <v>0.98199999999999998</v>
      </c>
      <c r="I999" s="3">
        <f t="shared" si="15"/>
        <v>1.8000000000000016E-2</v>
      </c>
      <c r="J999">
        <v>83</v>
      </c>
      <c r="K999">
        <v>5</v>
      </c>
      <c r="L999">
        <v>14.3</v>
      </c>
    </row>
    <row r="1000" spans="1:12" x14ac:dyDescent="0.2">
      <c r="A1000">
        <v>62</v>
      </c>
      <c r="B1000">
        <v>2924</v>
      </c>
      <c r="C1000">
        <v>66</v>
      </c>
      <c r="D1000">
        <v>0.98899999999999999</v>
      </c>
      <c r="E1000" s="3">
        <v>2.3E-2</v>
      </c>
      <c r="F1000">
        <v>0.28699999999999998</v>
      </c>
      <c r="G1000">
        <v>0.96499999999999997</v>
      </c>
      <c r="H1000" s="3">
        <v>0.92700000000000005</v>
      </c>
      <c r="I1000" s="3">
        <f t="shared" si="15"/>
        <v>7.2999999999999954E-2</v>
      </c>
      <c r="J1000">
        <v>68</v>
      </c>
      <c r="K1000">
        <v>15</v>
      </c>
      <c r="L1000">
        <v>12.8</v>
      </c>
    </row>
    <row r="1001" spans="1:12" x14ac:dyDescent="0.2">
      <c r="A1001">
        <v>84</v>
      </c>
      <c r="B1001">
        <v>3946</v>
      </c>
      <c r="C1001">
        <v>121</v>
      </c>
      <c r="D1001">
        <v>0.99</v>
      </c>
      <c r="E1001" s="3">
        <v>4.2000000000000003E-2</v>
      </c>
      <c r="F1001">
        <v>0.19500000000000001</v>
      </c>
      <c r="G1001">
        <v>0.94899999999999995</v>
      </c>
      <c r="H1001" s="3">
        <v>0.95899999999999996</v>
      </c>
      <c r="I1001" s="3">
        <f t="shared" si="15"/>
        <v>4.1000000000000036E-2</v>
      </c>
      <c r="J1001">
        <v>89</v>
      </c>
      <c r="K1001">
        <v>9</v>
      </c>
      <c r="L1001">
        <v>6.4</v>
      </c>
    </row>
    <row r="1004" spans="1:12" x14ac:dyDescent="0.2">
      <c r="I1004" s="3">
        <f>AVERAGE(I2:I1001)</f>
        <v>5.192000000000007E-2</v>
      </c>
    </row>
    <row r="1005" spans="1:12" x14ac:dyDescent="0.2">
      <c r="D1005" t="s">
        <v>32</v>
      </c>
      <c r="E1005" s="3">
        <f>AVERAGE(E2:E1001)</f>
        <v>0.10456300000000009</v>
      </c>
      <c r="I1005" s="3">
        <f>_xlfn.STDEV.S(I2:I1001)</f>
        <v>2.8429664891550174E-2</v>
      </c>
    </row>
    <row r="1006" spans="1:12" x14ac:dyDescent="0.2">
      <c r="D1006" t="s">
        <v>33</v>
      </c>
      <c r="E1006" s="3">
        <f>_xlfn.STDEV.S(E2:E1001)</f>
        <v>5.4827092217634814E-2</v>
      </c>
    </row>
    <row r="1007" spans="1:12" x14ac:dyDescent="0.2">
      <c r="H1007" s="3" t="s">
        <v>37</v>
      </c>
      <c r="I1007" s="3">
        <f>(I1004-0.06)/(I1005/SQRT(1000))</f>
        <v>-8.9875148341106783</v>
      </c>
    </row>
    <row r="1009" spans="4:9" x14ac:dyDescent="0.2">
      <c r="H1009" s="3" t="s">
        <v>38</v>
      </c>
      <c r="I1009" s="3">
        <f>_xlfn.T.DIST.RT(8.9875,999)</f>
        <v>6.1915481325912364E-19</v>
      </c>
    </row>
    <row r="1010" spans="4:9" x14ac:dyDescent="0.2">
      <c r="D1010" t="s">
        <v>34</v>
      </c>
      <c r="I1010" s="3" t="s">
        <v>39</v>
      </c>
    </row>
    <row r="1011" spans="4:9" x14ac:dyDescent="0.2">
      <c r="D1011" t="s">
        <v>35</v>
      </c>
      <c r="E1011" s="3">
        <f>_xlfn.T.DIST.RT(2.631,999)</f>
        <v>4.3222466097232555E-3</v>
      </c>
    </row>
  </sheetData>
  <sortState xmlns:xlrd2="http://schemas.microsoft.com/office/spreadsheetml/2017/richdata2" ref="A2:L1001">
    <sortCondition ref="D1:D10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19" sqref="B19"/>
    </sheetView>
  </sheetViews>
  <sheetFormatPr baseColWidth="10" defaultColWidth="8.83203125" defaultRowHeight="19" x14ac:dyDescent="0.25"/>
  <cols>
    <col min="1" max="1" width="45.1640625" style="1" customWidth="1"/>
    <col min="2" max="2" width="85.33203125" style="1" customWidth="1"/>
    <col min="3" max="3" width="26.1640625" style="1" customWidth="1"/>
    <col min="4" max="16384" width="8.83203125" style="1"/>
  </cols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s="1" t="s">
        <v>0</v>
      </c>
      <c r="B2" s="1" t="s">
        <v>31</v>
      </c>
      <c r="C2" s="1" t="s">
        <v>14</v>
      </c>
    </row>
    <row r="3" spans="1:3" x14ac:dyDescent="0.25">
      <c r="A3" s="1" t="s">
        <v>1</v>
      </c>
      <c r="B3" s="1" t="s">
        <v>15</v>
      </c>
      <c r="C3" s="1" t="s">
        <v>16</v>
      </c>
    </row>
    <row r="4" spans="1:3" x14ac:dyDescent="0.25">
      <c r="A4" s="1" t="s">
        <v>2</v>
      </c>
      <c r="B4" s="1" t="s">
        <v>17</v>
      </c>
      <c r="C4" s="1" t="s">
        <v>18</v>
      </c>
    </row>
    <row r="5" spans="1:3" x14ac:dyDescent="0.25">
      <c r="A5" s="1" t="s">
        <v>3</v>
      </c>
      <c r="B5" s="1" t="s">
        <v>19</v>
      </c>
      <c r="C5" s="1" t="s">
        <v>20</v>
      </c>
    </row>
    <row r="6" spans="1:3" x14ac:dyDescent="0.25">
      <c r="A6" s="1" t="s">
        <v>4</v>
      </c>
      <c r="B6" s="1" t="s">
        <v>21</v>
      </c>
      <c r="C6" s="1" t="s">
        <v>20</v>
      </c>
    </row>
    <row r="7" spans="1:3" x14ac:dyDescent="0.25">
      <c r="A7" s="1" t="s">
        <v>5</v>
      </c>
      <c r="B7" s="1" t="s">
        <v>22</v>
      </c>
      <c r="C7" s="1" t="s">
        <v>20</v>
      </c>
    </row>
    <row r="8" spans="1:3" x14ac:dyDescent="0.25">
      <c r="A8" s="1" t="s">
        <v>6</v>
      </c>
      <c r="B8" s="1" t="s">
        <v>23</v>
      </c>
      <c r="C8" s="1" t="s">
        <v>20</v>
      </c>
    </row>
    <row r="9" spans="1:3" x14ac:dyDescent="0.25">
      <c r="A9" s="1" t="s">
        <v>7</v>
      </c>
      <c r="B9" s="1" t="s">
        <v>24</v>
      </c>
      <c r="C9" s="1" t="s">
        <v>20</v>
      </c>
    </row>
    <row r="10" spans="1:3" s="2" customFormat="1" x14ac:dyDescent="0.25">
      <c r="A10" s="2" t="s">
        <v>8</v>
      </c>
      <c r="B10" s="2" t="s">
        <v>25</v>
      </c>
      <c r="C10" s="2" t="s">
        <v>26</v>
      </c>
    </row>
    <row r="11" spans="1:3" x14ac:dyDescent="0.25">
      <c r="A11" s="1" t="s">
        <v>9</v>
      </c>
      <c r="B11" s="1" t="s">
        <v>27</v>
      </c>
      <c r="C11" s="1" t="s">
        <v>28</v>
      </c>
    </row>
    <row r="12" spans="1:3" x14ac:dyDescent="0.25">
      <c r="A12" s="1" t="s">
        <v>10</v>
      </c>
      <c r="B12" s="1" t="s">
        <v>29</v>
      </c>
      <c r="C12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Airbnb_KPI_Data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Saravanan Kesavan</cp:lastModifiedBy>
  <dcterms:created xsi:type="dcterms:W3CDTF">2025-09-03T07:48:34Z</dcterms:created>
  <dcterms:modified xsi:type="dcterms:W3CDTF">2025-12-10T13:29:57Z</dcterms:modified>
</cp:coreProperties>
</file>