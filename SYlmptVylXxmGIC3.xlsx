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6"/>
  </bookViews>
  <sheets>
    <sheet name="reg1" sheetId="2" r:id="rId1"/>
    <sheet name="reg2" sheetId="3" r:id="rId2"/>
    <sheet name="reg3" sheetId="4" r:id="rId3"/>
    <sheet name="2-sample test" sheetId="5" r:id="rId4"/>
    <sheet name="Sheet3" sheetId="6" r:id="rId5"/>
    <sheet name="reg2-1" sheetId="7" r:id="rId6"/>
    <sheet name="reg3-1" sheetId="8" r:id="rId7"/>
    <sheet name="Sheet1" sheetId="1" r:id="rId8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K20"/>
  <c r="K18"/>
  <c r="G4"/>
  <c r="K10"/>
  <c r="K7"/>
</calcChain>
</file>

<file path=xl/sharedStrings.xml><?xml version="1.0" encoding="utf-8"?>
<sst xmlns="http://schemas.openxmlformats.org/spreadsheetml/2006/main" count="261" uniqueCount="53">
  <si>
    <t>TRIANGLE CONSTRUCTION COMPANY</t>
  </si>
  <si>
    <t>OBS</t>
  </si>
  <si>
    <t>GENDER</t>
  </si>
  <si>
    <t>YEARS</t>
  </si>
  <si>
    <t>WAGE</t>
  </si>
  <si>
    <t>F</t>
  </si>
  <si>
    <t>M</t>
  </si>
  <si>
    <t>QUESTION: IS THERE WAGE DISCRIMINATION AGAINST WOMEN?</t>
  </si>
  <si>
    <t>Gender_Dummy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</si>
  <si>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</si>
  <si>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</si>
  <si>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</si>
  <si>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</si>
  <si>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</si>
  <si>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</si>
  <si>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</si>
  <si>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</si>
  <si>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</si>
  <si>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</si>
  <si>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</si>
  <si>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</si>
  <si>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</si>
  <si>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</si>
  <si>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</si>
  <si>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</si>
  <si>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</si>
  <si>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</si>
  <si>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</si>
  <si>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</si>
  <si>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</si>
  <si>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</si>
  <si>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</si>
  <si>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</si>
  <si>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</si>
  <si>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WAGE</t>
  </si>
  <si>
    <t>Residuals</t>
  </si>
  <si>
    <t>Avg wage of women</t>
  </si>
  <si>
    <t>Avg wage of men</t>
  </si>
  <si>
    <t>Diff in wage rate=$2.15</t>
  </si>
  <si>
    <t>WAGE OF WOMEN</t>
  </si>
  <si>
    <t>WAGE OF MEN</t>
  </si>
  <si>
    <t>t-Test: Two-Sample Assuming Unequal Variances</t>
  </si>
  <si>
    <t>Mean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</si>
  <si>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</si>
  <si>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</si>
  <si>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</si>
  <si>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</si>
  <si>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</si>
  <si>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</si>
  <si>
    <t>MALE_DUMMY</t>
  </si>
  <si>
    <t>Experience of men</t>
  </si>
  <si>
    <t>Experience of women</t>
  </si>
  <si>
    <t>FEMALE_DUMMY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</si>
</sst>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00"/>
  </numFmts>
  <fonts count="4">
    <font>
      <sz val="11"/>
      <color theme="1"/>
      <name val="Aptos Narrow"/>
      <family val="2"/>
      <scheme val="minor"/>
    </font>
    <font>
      <sz val="14"/>
      <name val="Arial"/>
      <family val="2"/>
    </font>
    <font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71377</xdr:colOff>
      <xdr:row>17</xdr:row>
      <xdr:rowOff>166972</xdr:rowOff>
    </xdr:from>
    <xdr:to>
      <xdr:col>9</xdr:col>
      <xdr:colOff>544477</xdr:colOff>
      <xdr:row>22</xdr:row>
      <xdr:rowOff>41415</xdr:rowOff>
    </xdr:to>
    <xdr:pic>
      <xdr:nvPicPr>
        <xdr:cNvPr id="20" name="Ink 19">
          <a:extLst>
            <a:ext uri="{FF2B5EF4-FFF2-40B4-BE49-F238E27FC236}">
              <a16:creationId xmlns="" xmlns:mc="http://schemas.openxmlformats.org/markup-compatibility/2006" xmlns:a16="http://schemas.microsoft.com/office/drawing/2014/main" id="{549347D6-3AE2-DC92-52A4-DB2F310E616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6321" y="3261240"/>
          <a:ext cx="3723839" cy="796320"/>
        </a:xfrm>
        <a:prstGeom prst="rect">
          <a:avLst/>
        </a:prstGeom>
      </xdr:spPr>
    </xdr:pic>
    <xdr:clientData/>
  </xdr:twoCellAnchor>
  <xdr:twoCellAnchor editAs="oneCell">
    <xdr:from>
      <xdr:col>0</xdr:col>
      <xdr:colOff>-6320</xdr:colOff>
      <xdr:row>15</xdr:row>
      <xdr:rowOff>148762</xdr:rowOff>
    </xdr:from>
    <xdr:to>
      <xdr:col>0</xdr:col>
      <xdr:colOff>1332720</xdr:colOff>
      <xdr:row>21</xdr:row>
      <xdr:rowOff>65790</xdr:rowOff>
    </xdr:to>
    <xdr:pic>
      <xdr:nvPicPr>
        <xdr:cNvPr id="21" name="Ink 20">
          <a:extLst>
            <a:ext uri="{FF2B5EF4-FFF2-40B4-BE49-F238E27FC236}">
              <a16:creationId xmlns="" xmlns:mc="http://schemas.openxmlformats.org/markup-compatibility/2006" xmlns:a16="http://schemas.microsoft.com/office/drawing/2014/main" id="{43D30261-1692-C2B1-37E6-FEA046D54A76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2444" y="2881080"/>
          <a:ext cx="1351288" cy="1019880"/>
        </a:xfrm>
        <a:prstGeom prst="rect">
          <a:avLst/>
        </a:prstGeom>
      </xdr:spPr>
    </xdr:pic>
    <xdr:clientData/>
  </xdr:twoCellAnchor>
  <xdr:twoCellAnchor editAs="oneCell">
    <xdr:from>
      <xdr:col>8</xdr:col>
      <xdr:colOff>248617</xdr:colOff>
      <xdr:row>26</xdr:row>
      <xdr:rowOff>73380</xdr:rowOff>
    </xdr:from>
    <xdr:to>
      <xdr:col>9</xdr:col>
      <xdr:colOff>385717</xdr:colOff>
      <xdr:row>30</xdr:row>
      <xdr:rowOff>26640</xdr:rowOff>
    </xdr:to>
    <xdr:pic>
      <xdr:nvPicPr>
        <xdr:cNvPr id="33" name="Ink 32">
          <a:extLst>
            <a:ext uri="{FF2B5EF4-FFF2-40B4-BE49-F238E27FC236}">
              <a16:creationId xmlns="" xmlns:mc="http://schemas.openxmlformats.org/markup-compatibility/2006" xmlns:a16="http://schemas.microsoft.com/office/drawing/2014/main" id="{228C3684-3FF4-7973-947B-D566341DBD8C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360" y="4805948"/>
          <a:ext cx="797040" cy="689400"/>
        </a:xfrm>
        <a:prstGeom prst="rect">
          <a:avLst/>
        </a:prstGeom>
      </xdr:spPr>
    </xdr:pic>
    <xdr:clientData/>
  </xdr:twoCellAnchor>
  <xdr:twoCellAnchor editAs="oneCell">
    <xdr:from>
      <xdr:col>7</xdr:col>
      <xdr:colOff>252997</xdr:colOff>
      <xdr:row>27</xdr:row>
      <xdr:rowOff>145125</xdr:rowOff>
    </xdr:from>
    <xdr:to>
      <xdr:col>7</xdr:col>
      <xdr:colOff>502837</xdr:colOff>
      <xdr:row>29</xdr:row>
      <xdr:rowOff>51375</xdr:rowOff>
    </xdr:to>
    <xdr:pic>
      <xdr:nvPicPr>
        <xdr:cNvPr id="34" name="Ink 33">
          <a:extLst>
            <a:ext uri="{FF2B5EF4-FFF2-40B4-BE49-F238E27FC236}">
              <a16:creationId xmlns="" xmlns:mc="http://schemas.openxmlformats.org/markup-compatibility/2006" xmlns:a16="http://schemas.microsoft.com/office/drawing/2014/main" id="{0206B933-788B-2A3B-A03B-93E622B035AE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1040" y="5058660"/>
          <a:ext cx="262080" cy="280456"/>
        </a:xfrm>
        <a:prstGeom prst="rect">
          <a:avLst/>
        </a:prstGeom>
      </xdr:spPr>
    </xdr:pic>
    <xdr:clientData/>
  </xdr:twoCellAnchor>
  <xdr:twoCellAnchor editAs="oneCell">
    <xdr:from>
      <xdr:col>5</xdr:col>
      <xdr:colOff>371557</xdr:colOff>
      <xdr:row>23</xdr:row>
      <xdr:rowOff>105465</xdr:rowOff>
    </xdr:from>
    <xdr:to>
      <xdr:col>7</xdr:col>
      <xdr:colOff>38077</xdr:colOff>
      <xdr:row>30</xdr:row>
      <xdr:rowOff>113040</xdr:rowOff>
    </xdr:to>
    <xdr:pic>
      <xdr:nvPicPr>
        <xdr:cNvPr id="35" name="Ink 34">
          <a:extLst>
            <a:ext uri="{FF2B5EF4-FFF2-40B4-BE49-F238E27FC236}">
              <a16:creationId xmlns="" xmlns:mc="http://schemas.openxmlformats.org/markup-compatibility/2006" xmlns:a16="http://schemas.microsoft.com/office/drawing/2014/main" id="{8F84C6B6-AF5F-3D7D-206C-B319CF7D0E05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04200" y="4295108"/>
          <a:ext cx="974160" cy="1286640"/>
        </a:xfrm>
        <a:prstGeom prst="rect">
          <a:avLst/>
        </a:prstGeom>
      </xdr:spPr>
    </xdr:pic>
    <xdr:clientData/>
  </xdr:twoCellAnchor>
  <xdr:twoCellAnchor editAs="oneCell">
    <xdr:from>
      <xdr:col>10</xdr:col>
      <xdr:colOff>70657</xdr:colOff>
      <xdr:row>25</xdr:row>
      <xdr:rowOff>150315</xdr:rowOff>
    </xdr:from>
    <xdr:to>
      <xdr:col>15</xdr:col>
      <xdr:colOff>395437</xdr:colOff>
      <xdr:row>31</xdr:row>
      <xdr:rowOff>20625</xdr:rowOff>
    </xdr:to>
    <xdr:pic>
      <xdr:nvPicPr>
        <xdr:cNvPr id="49" name="Ink 48">
          <a:extLst>
            <a:ext uri="{FF2B5EF4-FFF2-40B4-BE49-F238E27FC236}">
              <a16:creationId xmlns="" xmlns:mc="http://schemas.openxmlformats.org/markup-compatibility/2006" xmlns:a16="http://schemas.microsoft.com/office/drawing/2014/main" id="{089A8333-4992-A6C4-C37E-EF69B0342448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41799" y="4701910"/>
          <a:ext cx="3575521" cy="968395"/>
        </a:xfrm>
        <a:prstGeom prst="rect">
          <a:avLst/>
        </a:prstGeom>
      </xdr:spPr>
    </xdr:pic>
    <xdr:clientData/>
  </xdr:twoCellAnchor>
  <xdr:twoCellAnchor editAs="oneCell">
    <xdr:from>
      <xdr:col>11</xdr:col>
      <xdr:colOff>155197</xdr:colOff>
      <xdr:row>31</xdr:row>
      <xdr:rowOff>147802</xdr:rowOff>
    </xdr:from>
    <xdr:to>
      <xdr:col>12</xdr:col>
      <xdr:colOff>540337</xdr:colOff>
      <xdr:row>32</xdr:row>
      <xdr:rowOff>33787</xdr:rowOff>
    </xdr:to>
    <xdr:pic>
      <xdr:nvPicPr>
        <xdr:cNvPr id="50" name="Ink 49">
          <a:extLst>
            <a:ext uri="{FF2B5EF4-FFF2-40B4-BE49-F238E27FC236}">
              <a16:creationId xmlns="" xmlns:mc="http://schemas.openxmlformats.org/markup-compatibility/2006" xmlns:a16="http://schemas.microsoft.com/office/drawing/2014/main" id="{A31A4E7D-DD01-BFE8-981B-20288401A39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74040" y="5785245"/>
          <a:ext cx="1045080" cy="7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533617</xdr:colOff>
      <xdr:row>25</xdr:row>
      <xdr:rowOff>136732</xdr:rowOff>
    </xdr:from>
    <xdr:to>
      <xdr:col>16</xdr:col>
      <xdr:colOff>296017</xdr:colOff>
      <xdr:row>35</xdr:row>
      <xdr:rowOff>15022</xdr:rowOff>
    </xdr:to>
    <xdr:pic>
      <xdr:nvPicPr>
        <xdr:cNvPr id="51" name="Ink 50">
          <a:extLst>
            <a:ext uri="{FF2B5EF4-FFF2-40B4-BE49-F238E27FC236}">
              <a16:creationId xmlns="" xmlns:mc="http://schemas.openxmlformats.org/markup-compatibility/2006" xmlns:a16="http://schemas.microsoft.com/office/drawing/2014/main" id="{2E0D3CCF-1D3A-6E86-0103-C24E164CF9F9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04760" y="4688325"/>
          <a:ext cx="3660840" cy="1700280"/>
        </a:xfrm>
        <a:prstGeom prst="rect">
          <a:avLst/>
        </a:prstGeom>
      </xdr:spPr>
    </xdr:pic>
    <xdr:clientData/>
  </xdr:twoCellAnchor>
  <xdr:twoCellAnchor editAs="oneCell">
    <xdr:from>
      <xdr:col>12</xdr:col>
      <xdr:colOff>434137</xdr:colOff>
      <xdr:row>26</xdr:row>
      <xdr:rowOff>115237</xdr:rowOff>
    </xdr:from>
    <xdr:to>
      <xdr:col>13</xdr:col>
      <xdr:colOff>73357</xdr:colOff>
      <xdr:row>28</xdr:row>
      <xdr:rowOff>58927</xdr:rowOff>
    </xdr:to>
    <xdr:pic>
      <xdr:nvPicPr>
        <xdr:cNvPr id="58" name="Ink 57">
          <a:extLst>
            <a:ext uri="{FF2B5EF4-FFF2-40B4-BE49-F238E27FC236}">
              <a16:creationId xmlns="" xmlns:mc="http://schemas.openxmlformats.org/markup-compatibility/2006" xmlns:a16="http://schemas.microsoft.com/office/drawing/2014/main" id="{C483B727-E3AA-D306-4EE0-FAA7D3F11FB7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00680" y="4847805"/>
          <a:ext cx="299160" cy="317880"/>
        </a:xfrm>
        <a:prstGeom prst="rect">
          <a:avLst/>
        </a:prstGeom>
      </xdr:spPr>
    </xdr:pic>
    <xdr:clientData/>
  </xdr:twoCellAnchor>
  <xdr:twoCellAnchor editAs="oneCell">
    <xdr:from>
      <xdr:col>6</xdr:col>
      <xdr:colOff>473017</xdr:colOff>
      <xdr:row>33</xdr:row>
      <xdr:rowOff>14812</xdr:rowOff>
    </xdr:from>
    <xdr:to>
      <xdr:col>9</xdr:col>
      <xdr:colOff>276277</xdr:colOff>
      <xdr:row>36</xdr:row>
      <xdr:rowOff>149767</xdr:rowOff>
    </xdr:to>
    <xdr:pic>
      <xdr:nvPicPr>
        <xdr:cNvPr id="73" name="Ink 72">
          <a:extLst>
            <a:ext uri="{FF2B5EF4-FFF2-40B4-BE49-F238E27FC236}">
              <a16:creationId xmlns="" xmlns:mc="http://schemas.openxmlformats.org/markup-compatibility/2006" xmlns:a16="http://schemas.microsoft.com/office/drawing/2014/main" id="{114201A0-8D4A-239F-54A4-DDEA5D991F07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53360" y="6014205"/>
          <a:ext cx="1758600" cy="690120"/>
        </a:xfrm>
        <a:prstGeom prst="rect">
          <a:avLst/>
        </a:prstGeom>
      </xdr:spPr>
    </xdr:pic>
    <xdr:clientData/>
  </xdr:twoCellAnchor>
  <xdr:twoCellAnchor editAs="oneCell">
    <xdr:from>
      <xdr:col>4</xdr:col>
      <xdr:colOff>162457</xdr:colOff>
      <xdr:row>33</xdr:row>
      <xdr:rowOff>31012</xdr:rowOff>
    </xdr:from>
    <xdr:to>
      <xdr:col>6</xdr:col>
      <xdr:colOff>191137</xdr:colOff>
      <xdr:row>37</xdr:row>
      <xdr:rowOff>153472</xdr:rowOff>
    </xdr:to>
    <xdr:pic>
      <xdr:nvPicPr>
        <xdr:cNvPr id="74" name="Ink 73">
          <a:extLst>
            <a:ext uri="{FF2B5EF4-FFF2-40B4-BE49-F238E27FC236}">
              <a16:creationId xmlns="" xmlns:mc="http://schemas.openxmlformats.org/markup-compatibility/2006" xmlns:a16="http://schemas.microsoft.com/office/drawing/2014/main" id="{4EFBF8F9-451A-01F5-EE19-3ED240D4AD53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47400" y="6030405"/>
          <a:ext cx="1336320" cy="858600"/>
        </a:xfrm>
        <a:prstGeom prst="rect">
          <a:avLst/>
        </a:prstGeom>
      </xdr:spPr>
    </xdr:pic>
    <xdr:clientData/>
  </xdr:twoCellAnchor>
  <xdr:twoCellAnchor editAs="oneCell">
    <xdr:from>
      <xdr:col>8</xdr:col>
      <xdr:colOff>364537</xdr:colOff>
      <xdr:row>37</xdr:row>
      <xdr:rowOff>86287</xdr:rowOff>
    </xdr:from>
    <xdr:to>
      <xdr:col>12</xdr:col>
      <xdr:colOff>276457</xdr:colOff>
      <xdr:row>43</xdr:row>
      <xdr:rowOff>31477</xdr:rowOff>
    </xdr:to>
    <xdr:pic>
      <xdr:nvPicPr>
        <xdr:cNvPr id="104" name="Ink 103">
          <a:extLst>
            <a:ext uri="{FF2B5EF4-FFF2-40B4-BE49-F238E27FC236}">
              <a16:creationId xmlns="" xmlns:mc="http://schemas.openxmlformats.org/markup-compatibility/2006" xmlns:a16="http://schemas.microsoft.com/office/drawing/2014/main" id="{4FDD1095-CE91-79D5-3A0B-4A9F5B59845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40280" y="6809580"/>
          <a:ext cx="2514960" cy="1043280"/>
        </a:xfrm>
        <a:prstGeom prst="rect">
          <a:avLst/>
        </a:prstGeom>
      </xdr:spPr>
    </xdr:pic>
    <xdr:clientData/>
  </xdr:twoCellAnchor>
  <xdr:twoCellAnchor editAs="oneCell">
    <xdr:from>
      <xdr:col>5</xdr:col>
      <xdr:colOff>435997</xdr:colOff>
      <xdr:row>39</xdr:row>
      <xdr:rowOff>137617</xdr:rowOff>
    </xdr:from>
    <xdr:to>
      <xdr:col>7</xdr:col>
      <xdr:colOff>261997</xdr:colOff>
      <xdr:row>42</xdr:row>
      <xdr:rowOff>26332</xdr:rowOff>
    </xdr:to>
    <xdr:pic>
      <xdr:nvPicPr>
        <xdr:cNvPr id="105" name="Ink 104">
          <a:extLst>
            <a:ext uri="{FF2B5EF4-FFF2-40B4-BE49-F238E27FC236}">
              <a16:creationId xmlns="" xmlns:mc="http://schemas.openxmlformats.org/markup-compatibility/2006" xmlns:a16="http://schemas.microsoft.com/office/drawing/2014/main" id="{8998E32C-4ECB-1B84-E0E2-E3B062B85ABE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68640" y="7222865"/>
          <a:ext cx="1133640" cy="443870"/>
        </a:xfrm>
        <a:prstGeom prst="rect">
          <a:avLst/>
        </a:prstGeom>
      </xdr:spPr>
    </xdr:pic>
    <xdr:clientData/>
  </xdr:twoCellAnchor>
  <xdr:twoCellAnchor editAs="oneCell">
    <xdr:from>
      <xdr:col>4</xdr:col>
      <xdr:colOff>10537</xdr:colOff>
      <xdr:row>40</xdr:row>
      <xdr:rowOff>60322</xdr:rowOff>
    </xdr:from>
    <xdr:to>
      <xdr:col>5</xdr:col>
      <xdr:colOff>40717</xdr:colOff>
      <xdr:row>43</xdr:row>
      <xdr:rowOff>164677</xdr:rowOff>
    </xdr:to>
    <xdr:pic>
      <xdr:nvPicPr>
        <xdr:cNvPr id="106" name="Ink 105">
          <a:extLst>
            <a:ext uri="{FF2B5EF4-FFF2-40B4-BE49-F238E27FC236}">
              <a16:creationId xmlns="" xmlns:mc="http://schemas.openxmlformats.org/markup-compatibility/2006" xmlns:a16="http://schemas.microsoft.com/office/drawing/2014/main" id="{9D0DCB8D-17B6-79C0-4AFB-6B7647866E7B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95483" y="7326540"/>
          <a:ext cx="690114" cy="659520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121957</xdr:colOff>
      <xdr:row>42</xdr:row>
      <xdr:rowOff>155212</xdr:rowOff>
    </xdr:from>
    <xdr:to>
      <xdr:col>14</xdr:col>
      <xdr:colOff>561817</xdr:colOff>
      <xdr:row>47</xdr:row>
      <xdr:rowOff>69697</xdr:rowOff>
    </xdr:to>
    <xdr:pic>
      <xdr:nvPicPr>
        <xdr:cNvPr id="128" name="Ink 127">
          <a:extLst>
            <a:ext uri="{FF2B5EF4-FFF2-40B4-BE49-F238E27FC236}">
              <a16:creationId xmlns="" xmlns:mc="http://schemas.openxmlformats.org/markup-compatibility/2006" xmlns:a16="http://schemas.microsoft.com/office/drawing/2014/main" id="{8F80F17D-DFC7-2774-20AD-C1ACEA5F8162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636200" y="7783380"/>
          <a:ext cx="1099800" cy="831600"/>
        </a:xfrm>
        <a:prstGeom prst="rect">
          <a:avLst/>
        </a:prstGeom>
      </xdr:spPr>
    </xdr:pic>
    <xdr:clientData/>
  </xdr:twoCellAnchor>
  <xdr:twoCellAnchor editAs="oneCell">
    <xdr:from>
      <xdr:col>9</xdr:col>
      <xdr:colOff>198157</xdr:colOff>
      <xdr:row>42</xdr:row>
      <xdr:rowOff>96532</xdr:rowOff>
    </xdr:from>
    <xdr:to>
      <xdr:col>12</xdr:col>
      <xdr:colOff>128857</xdr:colOff>
      <xdr:row>48</xdr:row>
      <xdr:rowOff>14002</xdr:rowOff>
    </xdr:to>
    <xdr:pic>
      <xdr:nvPicPr>
        <xdr:cNvPr id="130" name="Ink 129">
          <a:extLst>
            <a:ext uri="{FF2B5EF4-FFF2-40B4-BE49-F238E27FC236}">
              <a16:creationId xmlns="" xmlns:mc="http://schemas.openxmlformats.org/markup-compatibility/2006" xmlns:a16="http://schemas.microsoft.com/office/drawing/2014/main" id="{15AC49BC-5F68-E313-5E31-E9EA1BA90258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21599" y="7724700"/>
          <a:ext cx="1886042" cy="1015560"/>
        </a:xfrm>
        <a:prstGeom prst="rect">
          <a:avLst/>
        </a:prstGeom>
      </xdr:spPr>
    </xdr:pic>
    <xdr:clientData/>
  </xdr:twoCellAnchor>
  <xdr:twoCellAnchor editAs="oneCell">
    <xdr:from>
      <xdr:col>5</xdr:col>
      <xdr:colOff>317197</xdr:colOff>
      <xdr:row>43</xdr:row>
      <xdr:rowOff>156757</xdr:rowOff>
    </xdr:from>
    <xdr:to>
      <xdr:col>7</xdr:col>
      <xdr:colOff>551077</xdr:colOff>
      <xdr:row>49</xdr:row>
      <xdr:rowOff>101947</xdr:rowOff>
    </xdr:to>
    <xdr:pic>
      <xdr:nvPicPr>
        <xdr:cNvPr id="131" name="Ink 130">
          <a:extLst>
            <a:ext uri="{FF2B5EF4-FFF2-40B4-BE49-F238E27FC236}">
              <a16:creationId xmlns="" xmlns:mc="http://schemas.openxmlformats.org/markup-compatibility/2006" xmlns:a16="http://schemas.microsoft.com/office/drawing/2014/main" id="{0A445A2C-9680-76C3-ECA2-7DB1A2496F1E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49840" y="7965900"/>
          <a:ext cx="1541520" cy="1043280"/>
        </a:xfrm>
        <a:prstGeom prst="rect">
          <a:avLst/>
        </a:prstGeom>
      </xdr:spPr>
    </xdr:pic>
    <xdr:clientData/>
  </xdr:twoCellAnchor>
  <xdr:twoCellAnchor editAs="oneCell">
    <xdr:from>
      <xdr:col>3</xdr:col>
      <xdr:colOff>606757</xdr:colOff>
      <xdr:row>45</xdr:row>
      <xdr:rowOff>42487</xdr:rowOff>
    </xdr:from>
    <xdr:to>
      <xdr:col>5</xdr:col>
      <xdr:colOff>5797</xdr:colOff>
      <xdr:row>48</xdr:row>
      <xdr:rowOff>156562</xdr:rowOff>
    </xdr:to>
    <xdr:pic>
      <xdr:nvPicPr>
        <xdr:cNvPr id="132" name="Ink 131">
          <a:extLst>
            <a:ext uri="{FF2B5EF4-FFF2-40B4-BE49-F238E27FC236}">
              <a16:creationId xmlns="" xmlns:mc="http://schemas.openxmlformats.org/markup-compatibility/2006" xmlns:a16="http://schemas.microsoft.com/office/drawing/2014/main" id="{FCDD3767-7B54-B545-F0EC-E8BD9EB0864D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44000" y="8213580"/>
          <a:ext cx="706680" cy="669240"/>
        </a:xfrm>
        <a:prstGeom prst="rect">
          <a:avLst/>
        </a:prstGeom>
      </xdr:spPr>
    </xdr:pic>
    <xdr:clientData/>
  </xdr:twoCellAnchor>
  <xdr:twoCellAnchor editAs="oneCell">
    <xdr:from>
      <xdr:col>13</xdr:col>
      <xdr:colOff>39157</xdr:colOff>
      <xdr:row>37</xdr:row>
      <xdr:rowOff>7447</xdr:rowOff>
    </xdr:from>
    <xdr:to>
      <xdr:col>15</xdr:col>
      <xdr:colOff>391117</xdr:colOff>
      <xdr:row>41</xdr:row>
      <xdr:rowOff>161227</xdr:rowOff>
    </xdr:to>
    <xdr:pic>
      <xdr:nvPicPr>
        <xdr:cNvPr id="137" name="Ink 136">
          <a:extLst>
            <a:ext uri="{FF2B5EF4-FFF2-40B4-BE49-F238E27FC236}">
              <a16:creationId xmlns="" xmlns:mc="http://schemas.openxmlformats.org/markup-compatibility/2006" xmlns:a16="http://schemas.microsoft.com/office/drawing/2014/main" id="{42274BD9-F3BF-82CE-33F9-1BE963B826D1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53400" y="6730740"/>
          <a:ext cx="1659600" cy="889920"/>
        </a:xfrm>
        <a:prstGeom prst="rect">
          <a:avLst/>
        </a:prstGeom>
      </xdr:spPr>
    </xdr:pic>
    <xdr:clientData/>
  </xdr:twoCellAnchor>
  <xdr:twoCellAnchor editAs="oneCell">
    <xdr:from>
      <xdr:col>13</xdr:col>
      <xdr:colOff>269197</xdr:colOff>
      <xdr:row>47</xdr:row>
      <xdr:rowOff>129457</xdr:rowOff>
    </xdr:from>
    <xdr:to>
      <xdr:col>14</xdr:col>
      <xdr:colOff>446257</xdr:colOff>
      <xdr:row>48</xdr:row>
      <xdr:rowOff>139282</xdr:rowOff>
    </xdr:to>
    <xdr:pic>
      <xdr:nvPicPr>
        <xdr:cNvPr id="140" name="Ink 139">
          <a:extLst>
            <a:ext uri="{FF2B5EF4-FFF2-40B4-BE49-F238E27FC236}">
              <a16:creationId xmlns="" xmlns:mc="http://schemas.openxmlformats.org/markup-compatibility/2006" xmlns:a16="http://schemas.microsoft.com/office/drawing/2014/main" id="{8FBC1FE5-49C4-A5FD-4DA2-483B0C8A5069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783440" y="8662500"/>
          <a:ext cx="837000" cy="203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467040</xdr:colOff>
      <xdr:row>10</xdr:row>
      <xdr:rowOff>60922</xdr:rowOff>
    </xdr:from>
    <xdr:to>
      <xdr:col>12</xdr:col>
      <xdr:colOff>268560</xdr:colOff>
      <xdr:row>26</xdr:row>
      <xdr:rowOff>98272</xdr:rowOff>
    </xdr:to>
    <xdr:pic>
      <xdr:nvPicPr>
        <xdr:cNvPr id="26" name="Ink 25">
          <a:extLst>
            <a:ext uri="{FF2B5EF4-FFF2-40B4-BE49-F238E27FC236}">
              <a16:creationId xmlns="" xmlns:mc="http://schemas.openxmlformats.org/markup-compatibility/2006" xmlns:a16="http://schemas.microsoft.com/office/drawing/2014/main" id="{B120AA61-B278-FAC2-9ADA-D82EF6D05A5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1720" y="1878840"/>
          <a:ext cx="4995359" cy="2964240"/>
        </a:xfrm>
        <a:prstGeom prst="rect">
          <a:avLst/>
        </a:prstGeom>
      </xdr:spPr>
    </xdr:pic>
    <xdr:clientData/>
  </xdr:twoCellAnchor>
  <xdr:twoCellAnchor editAs="oneCell">
    <xdr:from>
      <xdr:col>3</xdr:col>
      <xdr:colOff>612900</xdr:colOff>
      <xdr:row>29</xdr:row>
      <xdr:rowOff>3007</xdr:rowOff>
    </xdr:from>
    <xdr:to>
      <xdr:col>4</xdr:col>
      <xdr:colOff>491880</xdr:colOff>
      <xdr:row>32</xdr:row>
      <xdr:rowOff>114562</xdr:rowOff>
    </xdr:to>
    <xdr:pic>
      <xdr:nvPicPr>
        <xdr:cNvPr id="31" name="Ink 30">
          <a:extLst>
            <a:ext uri="{FF2B5EF4-FFF2-40B4-BE49-F238E27FC236}">
              <a16:creationId xmlns="" xmlns:mc="http://schemas.openxmlformats.org/markup-compatibility/2006" xmlns:a16="http://schemas.microsoft.com/office/drawing/2014/main" id="{FE3E9E87-4129-FDEC-D209-82CD290F01CF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9880" y="5278500"/>
          <a:ext cx="538920" cy="666720"/>
        </a:xfrm>
        <a:prstGeom prst="rect">
          <a:avLst/>
        </a:prstGeom>
      </xdr:spPr>
    </xdr:pic>
    <xdr:clientData/>
  </xdr:twoCellAnchor>
  <xdr:twoCellAnchor editAs="oneCell">
    <xdr:from>
      <xdr:col>10</xdr:col>
      <xdr:colOff>32160</xdr:colOff>
      <xdr:row>17</xdr:row>
      <xdr:rowOff>63832</xdr:rowOff>
    </xdr:from>
    <xdr:to>
      <xdr:col>12</xdr:col>
      <xdr:colOff>41760</xdr:colOff>
      <xdr:row>22</xdr:row>
      <xdr:rowOff>92715</xdr:rowOff>
    </xdr:to>
    <xdr:pic>
      <xdr:nvPicPr>
        <xdr:cNvPr id="35" name="Ink 34">
          <a:extLst>
            <a:ext uri="{FF2B5EF4-FFF2-40B4-BE49-F238E27FC236}">
              <a16:creationId xmlns="" xmlns:mc="http://schemas.openxmlformats.org/markup-compatibility/2006" xmlns:a16="http://schemas.microsoft.com/office/drawing/2014/main" id="{61AA1294-C170-5874-278B-A6A4AA969B96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3040" y="3158100"/>
          <a:ext cx="1317240" cy="950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126787</xdr:colOff>
      <xdr:row>2</xdr:row>
      <xdr:rowOff>139087</xdr:rowOff>
    </xdr:from>
    <xdr:to>
      <xdr:col>2</xdr:col>
      <xdr:colOff>574267</xdr:colOff>
      <xdr:row>6</xdr:row>
      <xdr:rowOff>547</xdr:rowOff>
    </xdr:to>
    <xdr:pic>
      <xdr:nvPicPr>
        <xdr:cNvPr id="2" name="Ink 1">
          <a:extLst>
            <a:ext uri="{FF2B5EF4-FFF2-40B4-BE49-F238E27FC236}">
              <a16:creationId xmlns="" xmlns:mc="http://schemas.openxmlformats.org/markup-compatibility/2006" xmlns:a16="http://schemas.microsoft.com/office/drawing/2014/main" id="{E52FF19B-019A-93AB-0A9F-AB1444C6FE6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880" y="499680"/>
          <a:ext cx="459720" cy="597600"/>
        </a:xfrm>
        <a:prstGeom prst="rect">
          <a:avLst/>
        </a:prstGeom>
      </xdr:spPr>
    </xdr:pic>
    <xdr:clientData/>
  </xdr:twoCellAnchor>
  <xdr:twoCellAnchor editAs="oneCell">
    <xdr:from>
      <xdr:col>4</xdr:col>
      <xdr:colOff>39547</xdr:colOff>
      <xdr:row>15</xdr:row>
      <xdr:rowOff>73162</xdr:rowOff>
    </xdr:from>
    <xdr:to>
      <xdr:col>5</xdr:col>
      <xdr:colOff>29407</xdr:colOff>
      <xdr:row>20</xdr:row>
      <xdr:rowOff>84765</xdr:rowOff>
    </xdr:to>
    <xdr:pic>
      <xdr:nvPicPr>
        <xdr:cNvPr id="3" name="Ink 2">
          <a:extLst>
            <a:ext uri="{FF2B5EF4-FFF2-40B4-BE49-F238E27FC236}">
              <a16:creationId xmlns="" xmlns:mc="http://schemas.openxmlformats.org/markup-compatibility/2006" xmlns:a16="http://schemas.microsoft.com/office/drawing/2014/main" id="{73890E94-2E08-14D4-CE15-1F93F706134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2040" y="2805480"/>
          <a:ext cx="649800" cy="933480"/>
        </a:xfrm>
        <a:prstGeom prst="rect">
          <a:avLst/>
        </a:prstGeom>
      </xdr:spPr>
    </xdr:pic>
    <xdr:clientData/>
  </xdr:twoCellAnchor>
  <xdr:twoCellAnchor editAs="oneCell">
    <xdr:from>
      <xdr:col>0</xdr:col>
      <xdr:colOff>519120</xdr:colOff>
      <xdr:row>16</xdr:row>
      <xdr:rowOff>8107</xdr:rowOff>
    </xdr:from>
    <xdr:to>
      <xdr:col>0</xdr:col>
      <xdr:colOff>1241280</xdr:colOff>
      <xdr:row>19</xdr:row>
      <xdr:rowOff>57300</xdr:rowOff>
    </xdr:to>
    <xdr:pic>
      <xdr:nvPicPr>
        <xdr:cNvPr id="21" name="Ink 20">
          <a:extLst>
            <a:ext uri="{FF2B5EF4-FFF2-40B4-BE49-F238E27FC236}">
              <a16:creationId xmlns="" xmlns:mc="http://schemas.openxmlformats.org/markup-compatibility/2006" xmlns:a16="http://schemas.microsoft.com/office/drawing/2014/main" id="{7E89C5AA-82B6-D8B5-3979-E5D7B25F5B57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003" y="2921400"/>
          <a:ext cx="734394" cy="609120"/>
        </a:xfrm>
        <a:prstGeom prst="rect">
          <a:avLst/>
        </a:prstGeom>
      </xdr:spPr>
    </xdr:pic>
    <xdr:clientData/>
  </xdr:twoCellAnchor>
  <xdr:twoCellAnchor editAs="oneCell">
    <xdr:from>
      <xdr:col>6</xdr:col>
      <xdr:colOff>205027</xdr:colOff>
      <xdr:row>25</xdr:row>
      <xdr:rowOff>54007</xdr:rowOff>
    </xdr:from>
    <xdr:to>
      <xdr:col>8</xdr:col>
      <xdr:colOff>532147</xdr:colOff>
      <xdr:row>33</xdr:row>
      <xdr:rowOff>165367</xdr:rowOff>
    </xdr:to>
    <xdr:pic>
      <xdr:nvPicPr>
        <xdr:cNvPr id="63" name="Ink 62">
          <a:extLst>
            <a:ext uri="{FF2B5EF4-FFF2-40B4-BE49-F238E27FC236}">
              <a16:creationId xmlns="" xmlns:mc="http://schemas.openxmlformats.org/markup-compatibility/2006" xmlns:a16="http://schemas.microsoft.com/office/drawing/2014/main" id="{C969DF97-BC9B-DE11-CCB4-80AD67D795DB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2920" y="4605599"/>
          <a:ext cx="1634760" cy="1571403"/>
        </a:xfrm>
        <a:prstGeom prst="rect">
          <a:avLst/>
        </a:prstGeom>
      </xdr:spPr>
    </xdr:pic>
    <xdr:clientData/>
  </xdr:twoCellAnchor>
  <xdr:twoCellAnchor editAs="oneCell">
    <xdr:from>
      <xdr:col>3</xdr:col>
      <xdr:colOff>397087</xdr:colOff>
      <xdr:row>17</xdr:row>
      <xdr:rowOff>18052</xdr:rowOff>
    </xdr:from>
    <xdr:to>
      <xdr:col>10</xdr:col>
      <xdr:colOff>98947</xdr:colOff>
      <xdr:row>30</xdr:row>
      <xdr:rowOff>63172</xdr:rowOff>
    </xdr:to>
    <xdr:pic>
      <xdr:nvPicPr>
        <xdr:cNvPr id="67" name="Ink 66">
          <a:extLst>
            <a:ext uri="{FF2B5EF4-FFF2-40B4-BE49-F238E27FC236}">
              <a16:creationId xmlns="" xmlns:mc="http://schemas.openxmlformats.org/markup-compatibility/2006" xmlns:a16="http://schemas.microsoft.com/office/drawing/2014/main" id="{E70B42D2-FBDD-B6F6-7484-124F087CDA41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1879" y="3112320"/>
          <a:ext cx="4248001" cy="24195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128587</xdr:rowOff>
    </xdr:from>
    <xdr:to>
      <xdr:col>19</xdr:col>
      <xdr:colOff>157162</xdr:colOff>
      <xdr:row>8</xdr:row>
      <xdr:rowOff>147637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E5AD749A-EAD5-4CCD-B583-7B2486EB2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1888" y="128587"/>
          <a:ext cx="2090737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opLeftCell="A19" workbookViewId="0">
      <selection activeCell="L32" sqref="L32:M32"/>
    </sheetView>
  </sheetViews>
  <sheetFormatPr defaultRowHeight="14.25"/>
  <cols>
    <col min="1" max="1" width="26.875" customWidth="1"/>
    <col min="2" max="2" width="20.625" customWidth="1"/>
  </cols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0.52835361748033138</v>
      </c>
    </row>
    <row r="5" spans="1:9">
      <c r="A5" s="6" t="s">
        <v>12</v>
      </c>
      <c r="B5" s="10">
        <v>0.27915754510455237</v>
      </c>
    </row>
    <row r="6" spans="1:9">
      <c r="A6" s="6" t="s">
        <v>13</v>
      </c>
      <c r="B6" s="6">
        <v>0.26413999396089721</v>
      </c>
    </row>
    <row r="7" spans="1:9">
      <c r="A7" s="6" t="s">
        <v>14</v>
      </c>
      <c r="B7" s="6">
        <v>1.7274439209421528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1</v>
      </c>
      <c r="C12" s="6">
        <v>55.470000000000084</v>
      </c>
      <c r="D12" s="6">
        <v>55.470000000000084</v>
      </c>
      <c r="E12" s="6">
        <v>18.588752748978987</v>
      </c>
      <c r="F12" s="6">
        <v>8.0193863151963366E-5</v>
      </c>
    </row>
    <row r="13" spans="1:9">
      <c r="A13" s="6" t="s">
        <v>18</v>
      </c>
      <c r="B13" s="6">
        <v>48</v>
      </c>
      <c r="C13" s="6">
        <v>143.23499999999993</v>
      </c>
      <c r="D13" s="6">
        <v>2.9840624999999985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198.70500000000001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11.599999999999998</v>
      </c>
      <c r="C17" s="6">
        <v>0.38626820345454282</v>
      </c>
      <c r="D17" s="6">
        <v>30.030947140501873</v>
      </c>
      <c r="E17" s="6">
        <v>9.0331745436518387E-33</v>
      </c>
      <c r="F17" s="6">
        <v>10.823355724369225</v>
      </c>
      <c r="G17" s="6">
        <v>12.37664427563077</v>
      </c>
      <c r="H17" s="6">
        <v>10.823355724369225</v>
      </c>
      <c r="I17" s="6">
        <v>12.37664427563077</v>
      </c>
    </row>
    <row r="18" spans="1:9" ht="15" thickBot="1">
      <c r="A18" s="7" t="s">
        <v>8</v>
      </c>
      <c r="B18" s="7">
        <v>2.1499999999999986</v>
      </c>
      <c r="C18" s="7">
        <v>0.49867010638296733</v>
      </c>
      <c r="D18" s="7">
        <v>4.311467586446514</v>
      </c>
      <c r="E18" s="11">
        <v>8.0193863151964978E-5</v>
      </c>
      <c r="F18" s="7">
        <v>1.1473565515182313</v>
      </c>
      <c r="G18" s="7">
        <v>3.1526434484817658</v>
      </c>
      <c r="H18" s="7">
        <v>1.1473565515182313</v>
      </c>
      <c r="I18" s="7">
        <v>3.1526434484817658</v>
      </c>
    </row>
    <row r="22" spans="1:9">
      <c r="A22" t="s">
        <v>32</v>
      </c>
    </row>
    <row r="23" spans="1:9" ht="15" thickBot="1"/>
    <row r="24" spans="1:9">
      <c r="A24" s="8" t="s">
        <v>33</v>
      </c>
      <c r="B24" s="8" t="s">
        <v>34</v>
      </c>
      <c r="C24" s="8" t="s">
        <v>35</v>
      </c>
    </row>
    <row r="25" spans="1:9">
      <c r="A25" s="6">
        <v>1</v>
      </c>
      <c r="B25" s="6">
        <v>11.599999999999998</v>
      </c>
      <c r="C25" s="6">
        <v>-2.6999999999999975</v>
      </c>
    </row>
    <row r="26" spans="1:9">
      <c r="A26" s="6">
        <v>2</v>
      </c>
      <c r="B26" s="6">
        <v>11.599999999999998</v>
      </c>
      <c r="C26" s="6">
        <v>-2.0999999999999979</v>
      </c>
    </row>
    <row r="27" spans="1:9">
      <c r="A27" s="6">
        <v>3</v>
      </c>
      <c r="B27" s="6">
        <v>11.599999999999998</v>
      </c>
      <c r="C27" s="6">
        <v>-1.5999999999999979</v>
      </c>
    </row>
    <row r="28" spans="1:9">
      <c r="A28" s="6">
        <v>4</v>
      </c>
      <c r="B28" s="6">
        <v>11.599999999999998</v>
      </c>
      <c r="C28" s="6">
        <v>-1.3999999999999986</v>
      </c>
    </row>
    <row r="29" spans="1:9">
      <c r="A29" s="6">
        <v>5</v>
      </c>
      <c r="B29" s="6">
        <v>11.599999999999998</v>
      </c>
      <c r="C29" s="6">
        <v>-1.3999999999999986</v>
      </c>
    </row>
    <row r="30" spans="1:9">
      <c r="A30" s="6">
        <v>6</v>
      </c>
      <c r="B30" s="6">
        <v>11.599999999999998</v>
      </c>
      <c r="C30" s="6">
        <v>-1.2999999999999972</v>
      </c>
    </row>
    <row r="31" spans="1:9">
      <c r="A31" s="6">
        <v>7</v>
      </c>
      <c r="B31" s="6">
        <v>11.599999999999998</v>
      </c>
      <c r="C31" s="6">
        <v>-1.0999999999999979</v>
      </c>
    </row>
    <row r="32" spans="1:9">
      <c r="A32" s="6">
        <v>8</v>
      </c>
      <c r="B32" s="6">
        <v>13.749999999999996</v>
      </c>
      <c r="C32" s="6">
        <v>-3.1499999999999968</v>
      </c>
    </row>
    <row r="33" spans="1:3">
      <c r="A33" s="6">
        <v>9</v>
      </c>
      <c r="B33" s="6">
        <v>11.599999999999998</v>
      </c>
      <c r="C33" s="6">
        <v>-0.79999999999999716</v>
      </c>
    </row>
    <row r="34" spans="1:3">
      <c r="A34" s="6">
        <v>10</v>
      </c>
      <c r="B34" s="6">
        <v>13.749999999999996</v>
      </c>
      <c r="C34" s="6">
        <v>-2.7499999999999964</v>
      </c>
    </row>
    <row r="35" spans="1:3">
      <c r="A35" s="6">
        <v>11</v>
      </c>
      <c r="B35" s="6">
        <v>13.749999999999996</v>
      </c>
      <c r="C35" s="6">
        <v>-2.7499999999999964</v>
      </c>
    </row>
    <row r="36" spans="1:3">
      <c r="A36" s="6">
        <v>12</v>
      </c>
      <c r="B36" s="6">
        <v>13.749999999999996</v>
      </c>
      <c r="C36" s="6">
        <v>-2.6499999999999968</v>
      </c>
    </row>
    <row r="37" spans="1:3">
      <c r="A37" s="6">
        <v>13</v>
      </c>
      <c r="B37" s="6">
        <v>13.749999999999996</v>
      </c>
      <c r="C37" s="6">
        <v>-2.5499999999999972</v>
      </c>
    </row>
    <row r="38" spans="1:3">
      <c r="A38" s="6">
        <v>14</v>
      </c>
      <c r="B38" s="6">
        <v>11.599999999999998</v>
      </c>
      <c r="C38" s="6">
        <v>-0.29999999999999716</v>
      </c>
    </row>
    <row r="39" spans="1:3">
      <c r="A39" s="6">
        <v>15</v>
      </c>
      <c r="B39" s="6">
        <v>11.599999999999998</v>
      </c>
      <c r="C39" s="6">
        <v>-0.19999999999999751</v>
      </c>
    </row>
    <row r="40" spans="1:3">
      <c r="A40" s="6">
        <v>16</v>
      </c>
      <c r="B40" s="6">
        <v>11.599999999999998</v>
      </c>
      <c r="C40" s="6">
        <v>-9.9999999999997868E-2</v>
      </c>
    </row>
    <row r="41" spans="1:3">
      <c r="A41" s="6">
        <v>17</v>
      </c>
      <c r="B41" s="6">
        <v>11.599999999999998</v>
      </c>
      <c r="C41" s="6">
        <v>-9.9999999999997868E-2</v>
      </c>
    </row>
    <row r="42" spans="1:3">
      <c r="A42" s="6">
        <v>18</v>
      </c>
      <c r="B42" s="6">
        <v>11.599999999999998</v>
      </c>
      <c r="C42" s="6">
        <v>1.7763568394002505E-15</v>
      </c>
    </row>
    <row r="43" spans="1:3">
      <c r="A43" s="6">
        <v>19</v>
      </c>
      <c r="B43" s="6">
        <v>13.749999999999996</v>
      </c>
      <c r="C43" s="6">
        <v>-2.0499999999999972</v>
      </c>
    </row>
    <row r="44" spans="1:3">
      <c r="A44" s="6">
        <v>20</v>
      </c>
      <c r="B44" s="6">
        <v>11.599999999999998</v>
      </c>
      <c r="C44" s="6">
        <v>0.30000000000000249</v>
      </c>
    </row>
    <row r="45" spans="1:3">
      <c r="A45" s="6">
        <v>21</v>
      </c>
      <c r="B45" s="6">
        <v>13.749999999999996</v>
      </c>
      <c r="C45" s="6">
        <v>-1.4499999999999957</v>
      </c>
    </row>
    <row r="46" spans="1:3">
      <c r="A46" s="6">
        <v>22</v>
      </c>
      <c r="B46" s="6">
        <v>13.749999999999996</v>
      </c>
      <c r="C46" s="6">
        <v>-1.1499999999999968</v>
      </c>
    </row>
    <row r="47" spans="1:3">
      <c r="A47" s="6">
        <v>23</v>
      </c>
      <c r="B47" s="6">
        <v>13.749999999999996</v>
      </c>
      <c r="C47" s="6">
        <v>-1.1499999999999968</v>
      </c>
    </row>
    <row r="48" spans="1:3">
      <c r="A48" s="6">
        <v>24</v>
      </c>
      <c r="B48" s="6">
        <v>11.599999999999998</v>
      </c>
      <c r="C48" s="6">
        <v>1.0000000000000018</v>
      </c>
    </row>
    <row r="49" spans="1:3">
      <c r="A49" s="6">
        <v>25</v>
      </c>
      <c r="B49" s="6">
        <v>13.749999999999996</v>
      </c>
      <c r="C49" s="6">
        <v>-0.6499999999999968</v>
      </c>
    </row>
    <row r="50" spans="1:3">
      <c r="A50" s="6">
        <v>26</v>
      </c>
      <c r="B50" s="6">
        <v>11.599999999999998</v>
      </c>
      <c r="C50" s="6">
        <v>1.6000000000000014</v>
      </c>
    </row>
    <row r="51" spans="1:3">
      <c r="A51" s="6">
        <v>27</v>
      </c>
      <c r="B51" s="6">
        <v>11.599999999999998</v>
      </c>
      <c r="C51" s="6">
        <v>1.6000000000000014</v>
      </c>
    </row>
    <row r="52" spans="1:3">
      <c r="A52" s="6">
        <v>28</v>
      </c>
      <c r="B52" s="6">
        <v>13.749999999999996</v>
      </c>
      <c r="C52" s="6">
        <v>-0.54999999999999716</v>
      </c>
    </row>
    <row r="53" spans="1:3">
      <c r="A53" s="6">
        <v>29</v>
      </c>
      <c r="B53" s="6">
        <v>13.749999999999996</v>
      </c>
      <c r="C53" s="6">
        <v>-0.34999999999999609</v>
      </c>
    </row>
    <row r="54" spans="1:3">
      <c r="A54" s="6">
        <v>30</v>
      </c>
      <c r="B54" s="6">
        <v>11.599999999999998</v>
      </c>
      <c r="C54" s="6">
        <v>1.8000000000000025</v>
      </c>
    </row>
    <row r="55" spans="1:3">
      <c r="A55" s="6">
        <v>31</v>
      </c>
      <c r="B55" s="6">
        <v>13.749999999999996</v>
      </c>
      <c r="C55" s="6">
        <v>-0.24999999999999645</v>
      </c>
    </row>
    <row r="56" spans="1:3">
      <c r="A56" s="6">
        <v>32</v>
      </c>
      <c r="B56" s="6">
        <v>13.749999999999996</v>
      </c>
      <c r="C56" s="6">
        <v>5.0000000000004263E-2</v>
      </c>
    </row>
    <row r="57" spans="1:3">
      <c r="A57" s="6">
        <v>33</v>
      </c>
      <c r="B57" s="6">
        <v>13.749999999999996</v>
      </c>
      <c r="C57" s="6">
        <v>0.25000000000000355</v>
      </c>
    </row>
    <row r="58" spans="1:3">
      <c r="A58" s="6">
        <v>34</v>
      </c>
      <c r="B58" s="6">
        <v>13.749999999999996</v>
      </c>
      <c r="C58" s="6">
        <v>0.25000000000000355</v>
      </c>
    </row>
    <row r="59" spans="1:3">
      <c r="A59" s="6">
        <v>35</v>
      </c>
      <c r="B59" s="6">
        <v>13.749999999999996</v>
      </c>
      <c r="C59" s="6">
        <v>0.3500000000000032</v>
      </c>
    </row>
    <row r="60" spans="1:3">
      <c r="A60" s="6">
        <v>36</v>
      </c>
      <c r="B60" s="6">
        <v>11.599999999999998</v>
      </c>
      <c r="C60" s="6">
        <v>2.5000000000000018</v>
      </c>
    </row>
    <row r="61" spans="1:3">
      <c r="A61" s="6">
        <v>37</v>
      </c>
      <c r="B61" s="6">
        <v>13.749999999999996</v>
      </c>
      <c r="C61" s="6">
        <v>0.55000000000000426</v>
      </c>
    </row>
    <row r="62" spans="1:3">
      <c r="A62" s="6">
        <v>38</v>
      </c>
      <c r="B62" s="6">
        <v>13.749999999999996</v>
      </c>
      <c r="C62" s="6">
        <v>0.95000000000000284</v>
      </c>
    </row>
    <row r="63" spans="1:3">
      <c r="A63" s="6">
        <v>39</v>
      </c>
      <c r="B63" s="6">
        <v>13.749999999999996</v>
      </c>
      <c r="C63" s="6">
        <v>0.95000000000000284</v>
      </c>
    </row>
    <row r="64" spans="1:3">
      <c r="A64" s="6">
        <v>40</v>
      </c>
      <c r="B64" s="6">
        <v>13.749999999999996</v>
      </c>
      <c r="C64" s="6">
        <v>0.95000000000000284</v>
      </c>
    </row>
    <row r="65" spans="1:3">
      <c r="A65" s="6">
        <v>41</v>
      </c>
      <c r="B65" s="6">
        <v>13.749999999999996</v>
      </c>
      <c r="C65" s="6">
        <v>1.1500000000000039</v>
      </c>
    </row>
    <row r="66" spans="1:3">
      <c r="A66" s="6">
        <v>42</v>
      </c>
      <c r="B66" s="6">
        <v>13.749999999999996</v>
      </c>
      <c r="C66" s="6">
        <v>1.3500000000000032</v>
      </c>
    </row>
    <row r="67" spans="1:3">
      <c r="A67" s="6">
        <v>43</v>
      </c>
      <c r="B67" s="6">
        <v>13.749999999999996</v>
      </c>
      <c r="C67" s="6">
        <v>1.3500000000000032</v>
      </c>
    </row>
    <row r="68" spans="1:3">
      <c r="A68" s="6">
        <v>44</v>
      </c>
      <c r="B68" s="6">
        <v>13.749999999999996</v>
      </c>
      <c r="C68" s="6">
        <v>1.7500000000000036</v>
      </c>
    </row>
    <row r="69" spans="1:3">
      <c r="A69" s="6">
        <v>45</v>
      </c>
      <c r="B69" s="6">
        <v>13.749999999999996</v>
      </c>
      <c r="C69" s="6">
        <v>1.7500000000000036</v>
      </c>
    </row>
    <row r="70" spans="1:3">
      <c r="A70" s="6">
        <v>46</v>
      </c>
      <c r="B70" s="6">
        <v>13.749999999999996</v>
      </c>
      <c r="C70" s="6">
        <v>2.0500000000000043</v>
      </c>
    </row>
    <row r="71" spans="1:3">
      <c r="A71" s="6">
        <v>47</v>
      </c>
      <c r="B71" s="6">
        <v>11.599999999999998</v>
      </c>
      <c r="C71" s="6">
        <v>4.3000000000000025</v>
      </c>
    </row>
    <row r="72" spans="1:3">
      <c r="A72" s="6">
        <v>48</v>
      </c>
      <c r="B72" s="6">
        <v>13.749999999999996</v>
      </c>
      <c r="C72" s="6">
        <v>2.2500000000000036</v>
      </c>
    </row>
    <row r="73" spans="1:3">
      <c r="A73" s="6">
        <v>49</v>
      </c>
      <c r="B73" s="6">
        <v>13.749999999999996</v>
      </c>
      <c r="C73" s="6">
        <v>2.7500000000000036</v>
      </c>
    </row>
    <row r="74" spans="1:3" ht="15" thickBot="1">
      <c r="A74" s="7">
        <v>50</v>
      </c>
      <c r="B74" s="7">
        <v>13.749999999999996</v>
      </c>
      <c r="C74" s="7">
        <v>2.7500000000000036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topLeftCell="A2" workbookViewId="0">
      <selection activeCell="E21" sqref="E21"/>
    </sheetView>
  </sheetViews>
  <sheetFormatPr defaultRowHeight="14.25"/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0.52835361748033138</v>
      </c>
    </row>
    <row r="5" spans="1:9">
      <c r="A5" s="6" t="s">
        <v>12</v>
      </c>
      <c r="B5" s="6">
        <v>0.27915754510455237</v>
      </c>
    </row>
    <row r="6" spans="1:9">
      <c r="A6" s="6" t="s">
        <v>13</v>
      </c>
      <c r="B6" s="6">
        <v>0.26413999396089721</v>
      </c>
    </row>
    <row r="7" spans="1:9">
      <c r="A7" s="6" t="s">
        <v>14</v>
      </c>
      <c r="B7" s="6">
        <v>1.7274439209421528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1</v>
      </c>
      <c r="C12" s="6">
        <v>55.470000000000084</v>
      </c>
      <c r="D12" s="6">
        <v>55.470000000000084</v>
      </c>
      <c r="E12" s="6">
        <v>18.588752748978987</v>
      </c>
      <c r="F12" s="6">
        <v>8.0193863151963366E-5</v>
      </c>
    </row>
    <row r="13" spans="1:9">
      <c r="A13" s="6" t="s">
        <v>18</v>
      </c>
      <c r="B13" s="6">
        <v>48</v>
      </c>
      <c r="C13" s="6">
        <v>143.23499999999993</v>
      </c>
      <c r="D13" s="6">
        <v>2.9840624999999985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198.70500000000001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13.749999999999996</v>
      </c>
      <c r="C17" s="6">
        <v>0.31538666744172922</v>
      </c>
      <c r="D17" s="6">
        <v>43.59727730894155</v>
      </c>
      <c r="E17" s="6">
        <v>2.884320020314425E-40</v>
      </c>
      <c r="F17" s="6">
        <v>13.115872604350381</v>
      </c>
      <c r="G17" s="6">
        <v>14.384127395649612</v>
      </c>
      <c r="H17" s="6">
        <v>13.115872604350381</v>
      </c>
      <c r="I17" s="6">
        <v>14.384127395649612</v>
      </c>
    </row>
    <row r="18" spans="1:9" ht="15" thickBot="1">
      <c r="A18" s="7" t="s">
        <v>8</v>
      </c>
      <c r="B18" s="7">
        <v>-2.1499999999999986</v>
      </c>
      <c r="C18" s="7">
        <v>0.49867010638296733</v>
      </c>
      <c r="D18" s="7">
        <v>-4.311467586446514</v>
      </c>
      <c r="E18" s="7">
        <v>8.0193863151964978E-5</v>
      </c>
      <c r="F18" s="7">
        <v>-3.1526434484817658</v>
      </c>
      <c r="G18" s="7">
        <v>-1.1473565515182313</v>
      </c>
      <c r="H18" s="7">
        <v>-3.1526434484817658</v>
      </c>
      <c r="I18" s="7">
        <v>-1.1473565515182313</v>
      </c>
    </row>
    <row r="22" spans="1:9">
      <c r="A22" t="s">
        <v>32</v>
      </c>
    </row>
    <row r="23" spans="1:9" ht="15" thickBot="1"/>
    <row r="24" spans="1:9">
      <c r="A24" s="8" t="s">
        <v>33</v>
      </c>
      <c r="B24" s="8" t="s">
        <v>34</v>
      </c>
      <c r="C24" s="8" t="s">
        <v>35</v>
      </c>
    </row>
    <row r="25" spans="1:9">
      <c r="A25" s="6">
        <v>1</v>
      </c>
      <c r="B25" s="6">
        <v>11.599999999999998</v>
      </c>
      <c r="C25" s="6">
        <v>-2.6999999999999975</v>
      </c>
    </row>
    <row r="26" spans="1:9">
      <c r="A26" s="6">
        <v>2</v>
      </c>
      <c r="B26" s="6">
        <v>11.599999999999998</v>
      </c>
      <c r="C26" s="6">
        <v>-2.0999999999999979</v>
      </c>
    </row>
    <row r="27" spans="1:9">
      <c r="A27" s="6">
        <v>3</v>
      </c>
      <c r="B27" s="6">
        <v>11.599999999999998</v>
      </c>
      <c r="C27" s="6">
        <v>-1.5999999999999979</v>
      </c>
    </row>
    <row r="28" spans="1:9">
      <c r="A28" s="6">
        <v>4</v>
      </c>
      <c r="B28" s="6">
        <v>11.599999999999998</v>
      </c>
      <c r="C28" s="6">
        <v>-1.3999999999999986</v>
      </c>
    </row>
    <row r="29" spans="1:9">
      <c r="A29" s="6">
        <v>5</v>
      </c>
      <c r="B29" s="6">
        <v>11.599999999999998</v>
      </c>
      <c r="C29" s="6">
        <v>-1.3999999999999986</v>
      </c>
    </row>
    <row r="30" spans="1:9">
      <c r="A30" s="6">
        <v>6</v>
      </c>
      <c r="B30" s="6">
        <v>11.599999999999998</v>
      </c>
      <c r="C30" s="6">
        <v>-1.2999999999999972</v>
      </c>
    </row>
    <row r="31" spans="1:9">
      <c r="A31" s="6">
        <v>7</v>
      </c>
      <c r="B31" s="6">
        <v>11.599999999999998</v>
      </c>
      <c r="C31" s="6">
        <v>-1.0999999999999979</v>
      </c>
    </row>
    <row r="32" spans="1:9">
      <c r="A32" s="6">
        <v>8</v>
      </c>
      <c r="B32" s="6">
        <v>13.749999999999996</v>
      </c>
      <c r="C32" s="6">
        <v>-3.1499999999999968</v>
      </c>
    </row>
    <row r="33" spans="1:3">
      <c r="A33" s="6">
        <v>9</v>
      </c>
      <c r="B33" s="6">
        <v>11.599999999999998</v>
      </c>
      <c r="C33" s="6">
        <v>-0.79999999999999716</v>
      </c>
    </row>
    <row r="34" spans="1:3">
      <c r="A34" s="6">
        <v>10</v>
      </c>
      <c r="B34" s="6">
        <v>13.749999999999996</v>
      </c>
      <c r="C34" s="6">
        <v>-2.7499999999999964</v>
      </c>
    </row>
    <row r="35" spans="1:3">
      <c r="A35" s="6">
        <v>11</v>
      </c>
      <c r="B35" s="6">
        <v>13.749999999999996</v>
      </c>
      <c r="C35" s="6">
        <v>-2.7499999999999964</v>
      </c>
    </row>
    <row r="36" spans="1:3">
      <c r="A36" s="6">
        <v>12</v>
      </c>
      <c r="B36" s="6">
        <v>13.749999999999996</v>
      </c>
      <c r="C36" s="6">
        <v>-2.6499999999999968</v>
      </c>
    </row>
    <row r="37" spans="1:3">
      <c r="A37" s="6">
        <v>13</v>
      </c>
      <c r="B37" s="6">
        <v>13.749999999999996</v>
      </c>
      <c r="C37" s="6">
        <v>-2.5499999999999972</v>
      </c>
    </row>
    <row r="38" spans="1:3">
      <c r="A38" s="6">
        <v>14</v>
      </c>
      <c r="B38" s="6">
        <v>11.599999999999998</v>
      </c>
      <c r="C38" s="6">
        <v>-0.29999999999999716</v>
      </c>
    </row>
    <row r="39" spans="1:3">
      <c r="A39" s="6">
        <v>15</v>
      </c>
      <c r="B39" s="6">
        <v>11.599999999999998</v>
      </c>
      <c r="C39" s="6">
        <v>-0.19999999999999751</v>
      </c>
    </row>
    <row r="40" spans="1:3">
      <c r="A40" s="6">
        <v>16</v>
      </c>
      <c r="B40" s="6">
        <v>11.599999999999998</v>
      </c>
      <c r="C40" s="6">
        <v>-9.9999999999997868E-2</v>
      </c>
    </row>
    <row r="41" spans="1:3">
      <c r="A41" s="6">
        <v>17</v>
      </c>
      <c r="B41" s="6">
        <v>11.599999999999998</v>
      </c>
      <c r="C41" s="6">
        <v>-9.9999999999997868E-2</v>
      </c>
    </row>
    <row r="42" spans="1:3">
      <c r="A42" s="6">
        <v>18</v>
      </c>
      <c r="B42" s="6">
        <v>11.599999999999998</v>
      </c>
      <c r="C42" s="6">
        <v>1.7763568394002505E-15</v>
      </c>
    </row>
    <row r="43" spans="1:3">
      <c r="A43" s="6">
        <v>19</v>
      </c>
      <c r="B43" s="6">
        <v>13.749999999999996</v>
      </c>
      <c r="C43" s="6">
        <v>-2.0499999999999972</v>
      </c>
    </row>
    <row r="44" spans="1:3">
      <c r="A44" s="6">
        <v>20</v>
      </c>
      <c r="B44" s="6">
        <v>11.599999999999998</v>
      </c>
      <c r="C44" s="6">
        <v>0.30000000000000249</v>
      </c>
    </row>
    <row r="45" spans="1:3">
      <c r="A45" s="6">
        <v>21</v>
      </c>
      <c r="B45" s="6">
        <v>13.749999999999996</v>
      </c>
      <c r="C45" s="6">
        <v>-1.4499999999999957</v>
      </c>
    </row>
    <row r="46" spans="1:3">
      <c r="A46" s="6">
        <v>22</v>
      </c>
      <c r="B46" s="6">
        <v>13.749999999999996</v>
      </c>
      <c r="C46" s="6">
        <v>-1.1499999999999968</v>
      </c>
    </row>
    <row r="47" spans="1:3">
      <c r="A47" s="6">
        <v>23</v>
      </c>
      <c r="B47" s="6">
        <v>13.749999999999996</v>
      </c>
      <c r="C47" s="6">
        <v>-1.1499999999999968</v>
      </c>
    </row>
    <row r="48" spans="1:3">
      <c r="A48" s="6">
        <v>24</v>
      </c>
      <c r="B48" s="6">
        <v>11.599999999999998</v>
      </c>
      <c r="C48" s="6">
        <v>1.0000000000000018</v>
      </c>
    </row>
    <row r="49" spans="1:3">
      <c r="A49" s="6">
        <v>25</v>
      </c>
      <c r="B49" s="6">
        <v>13.749999999999996</v>
      </c>
      <c r="C49" s="6">
        <v>-0.6499999999999968</v>
      </c>
    </row>
    <row r="50" spans="1:3">
      <c r="A50" s="6">
        <v>26</v>
      </c>
      <c r="B50" s="6">
        <v>11.599999999999998</v>
      </c>
      <c r="C50" s="6">
        <v>1.6000000000000014</v>
      </c>
    </row>
    <row r="51" spans="1:3">
      <c r="A51" s="6">
        <v>27</v>
      </c>
      <c r="B51" s="6">
        <v>11.599999999999998</v>
      </c>
      <c r="C51" s="6">
        <v>1.6000000000000014</v>
      </c>
    </row>
    <row r="52" spans="1:3">
      <c r="A52" s="6">
        <v>28</v>
      </c>
      <c r="B52" s="6">
        <v>13.749999999999996</v>
      </c>
      <c r="C52" s="6">
        <v>-0.54999999999999716</v>
      </c>
    </row>
    <row r="53" spans="1:3">
      <c r="A53" s="6">
        <v>29</v>
      </c>
      <c r="B53" s="6">
        <v>13.749999999999996</v>
      </c>
      <c r="C53" s="6">
        <v>-0.34999999999999609</v>
      </c>
    </row>
    <row r="54" spans="1:3">
      <c r="A54" s="6">
        <v>30</v>
      </c>
      <c r="B54" s="6">
        <v>11.599999999999998</v>
      </c>
      <c r="C54" s="6">
        <v>1.8000000000000025</v>
      </c>
    </row>
    <row r="55" spans="1:3">
      <c r="A55" s="6">
        <v>31</v>
      </c>
      <c r="B55" s="6">
        <v>13.749999999999996</v>
      </c>
      <c r="C55" s="6">
        <v>-0.24999999999999645</v>
      </c>
    </row>
    <row r="56" spans="1:3">
      <c r="A56" s="6">
        <v>32</v>
      </c>
      <c r="B56" s="6">
        <v>13.749999999999996</v>
      </c>
      <c r="C56" s="6">
        <v>5.0000000000004263E-2</v>
      </c>
    </row>
    <row r="57" spans="1:3">
      <c r="A57" s="6">
        <v>33</v>
      </c>
      <c r="B57" s="6">
        <v>13.749999999999996</v>
      </c>
      <c r="C57" s="6">
        <v>0.25000000000000355</v>
      </c>
    </row>
    <row r="58" spans="1:3">
      <c r="A58" s="6">
        <v>34</v>
      </c>
      <c r="B58" s="6">
        <v>13.749999999999996</v>
      </c>
      <c r="C58" s="6">
        <v>0.25000000000000355</v>
      </c>
    </row>
    <row r="59" spans="1:3">
      <c r="A59" s="6">
        <v>35</v>
      </c>
      <c r="B59" s="6">
        <v>13.749999999999996</v>
      </c>
      <c r="C59" s="6">
        <v>0.3500000000000032</v>
      </c>
    </row>
    <row r="60" spans="1:3">
      <c r="A60" s="6">
        <v>36</v>
      </c>
      <c r="B60" s="6">
        <v>11.599999999999998</v>
      </c>
      <c r="C60" s="6">
        <v>2.5000000000000018</v>
      </c>
    </row>
    <row r="61" spans="1:3">
      <c r="A61" s="6">
        <v>37</v>
      </c>
      <c r="B61" s="6">
        <v>13.749999999999996</v>
      </c>
      <c r="C61" s="6">
        <v>0.55000000000000426</v>
      </c>
    </row>
    <row r="62" spans="1:3">
      <c r="A62" s="6">
        <v>38</v>
      </c>
      <c r="B62" s="6">
        <v>13.749999999999996</v>
      </c>
      <c r="C62" s="6">
        <v>0.95000000000000284</v>
      </c>
    </row>
    <row r="63" spans="1:3">
      <c r="A63" s="6">
        <v>39</v>
      </c>
      <c r="B63" s="6">
        <v>13.749999999999996</v>
      </c>
      <c r="C63" s="6">
        <v>0.95000000000000284</v>
      </c>
    </row>
    <row r="64" spans="1:3">
      <c r="A64" s="6">
        <v>40</v>
      </c>
      <c r="B64" s="6">
        <v>13.749999999999996</v>
      </c>
      <c r="C64" s="6">
        <v>0.95000000000000284</v>
      </c>
    </row>
    <row r="65" spans="1:3">
      <c r="A65" s="6">
        <v>41</v>
      </c>
      <c r="B65" s="6">
        <v>13.749999999999996</v>
      </c>
      <c r="C65" s="6">
        <v>1.1500000000000039</v>
      </c>
    </row>
    <row r="66" spans="1:3">
      <c r="A66" s="6">
        <v>42</v>
      </c>
      <c r="B66" s="6">
        <v>13.749999999999996</v>
      </c>
      <c r="C66" s="6">
        <v>1.3500000000000032</v>
      </c>
    </row>
    <row r="67" spans="1:3">
      <c r="A67" s="6">
        <v>43</v>
      </c>
      <c r="B67" s="6">
        <v>13.749999999999996</v>
      </c>
      <c r="C67" s="6">
        <v>1.3500000000000032</v>
      </c>
    </row>
    <row r="68" spans="1:3">
      <c r="A68" s="6">
        <v>44</v>
      </c>
      <c r="B68" s="6">
        <v>13.749999999999996</v>
      </c>
      <c r="C68" s="6">
        <v>1.7500000000000036</v>
      </c>
    </row>
    <row r="69" spans="1:3">
      <c r="A69" s="6">
        <v>45</v>
      </c>
      <c r="B69" s="6">
        <v>13.749999999999996</v>
      </c>
      <c r="C69" s="6">
        <v>1.7500000000000036</v>
      </c>
    </row>
    <row r="70" spans="1:3">
      <c r="A70" s="6">
        <v>46</v>
      </c>
      <c r="B70" s="6">
        <v>13.749999999999996</v>
      </c>
      <c r="C70" s="6">
        <v>2.0500000000000043</v>
      </c>
    </row>
    <row r="71" spans="1:3">
      <c r="A71" s="6">
        <v>47</v>
      </c>
      <c r="B71" s="6">
        <v>11.599999999999998</v>
      </c>
      <c r="C71" s="6">
        <v>4.3000000000000025</v>
      </c>
    </row>
    <row r="72" spans="1:3">
      <c r="A72" s="6">
        <v>48</v>
      </c>
      <c r="B72" s="6">
        <v>13.749999999999996</v>
      </c>
      <c r="C72" s="6">
        <v>2.2500000000000036</v>
      </c>
    </row>
    <row r="73" spans="1:3">
      <c r="A73" s="6">
        <v>49</v>
      </c>
      <c r="B73" s="6">
        <v>13.749999999999996</v>
      </c>
      <c r="C73" s="6">
        <v>2.7500000000000036</v>
      </c>
    </row>
    <row r="74" spans="1:3" ht="15" thickBot="1">
      <c r="A74" s="7">
        <v>50</v>
      </c>
      <c r="B74" s="7">
        <v>13.749999999999996</v>
      </c>
      <c r="C74" s="7">
        <v>2.7500000000000036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topLeftCell="A10" workbookViewId="0">
      <selection activeCell="E34" sqref="E34"/>
    </sheetView>
  </sheetViews>
  <sheetFormatPr defaultRowHeight="14.25"/>
  <cols>
    <col min="1" max="1" width="19.125" customWidth="1"/>
    <col min="2" max="2" width="20.75" customWidth="1"/>
  </cols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0.85125713052157448</v>
      </c>
    </row>
    <row r="5" spans="1:9">
      <c r="A5" s="6" t="s">
        <v>12</v>
      </c>
      <c r="B5" s="6">
        <v>0.72463870226382487</v>
      </c>
    </row>
    <row r="6" spans="1:9">
      <c r="A6" s="6" t="s">
        <v>13</v>
      </c>
      <c r="B6" s="6">
        <v>0.71292120023249828</v>
      </c>
    </row>
    <row r="7" spans="1:9">
      <c r="A7" s="6" t="s">
        <v>14</v>
      </c>
      <c r="B7" s="6">
        <v>1.0789639106881084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2</v>
      </c>
      <c r="C12" s="6">
        <v>143.98933333333332</v>
      </c>
      <c r="D12" s="6">
        <v>71.99466666666666</v>
      </c>
      <c r="E12" s="6">
        <v>61.842421731740423</v>
      </c>
      <c r="F12" s="6">
        <v>6.8820550806925182E-14</v>
      </c>
    </row>
    <row r="13" spans="1:9">
      <c r="A13" s="6" t="s">
        <v>18</v>
      </c>
      <c r="B13" s="6">
        <v>47</v>
      </c>
      <c r="C13" s="6">
        <v>54.715666666666685</v>
      </c>
      <c r="D13" s="6">
        <v>1.1641631205673764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198.70500000000001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10.713999999999999</v>
      </c>
      <c r="C17" s="6">
        <v>0.40003352496244021</v>
      </c>
      <c r="D17" s="6">
        <v>26.782755272838578</v>
      </c>
      <c r="E17" s="6">
        <v>4.1130987033954449E-30</v>
      </c>
      <c r="F17" s="6">
        <v>9.9092363509829298</v>
      </c>
      <c r="G17" s="6">
        <v>11.518763649017068</v>
      </c>
      <c r="H17" s="6">
        <v>9.9092363509829298</v>
      </c>
      <c r="I17" s="6">
        <v>11.518763649017068</v>
      </c>
    </row>
    <row r="18" spans="1:9">
      <c r="A18" s="6" t="s">
        <v>8</v>
      </c>
      <c r="B18" s="6">
        <v>-1.1533333333333338</v>
      </c>
      <c r="C18" s="6">
        <v>0.33177940755580942</v>
      </c>
      <c r="D18" s="6">
        <v>-3.4762052950478211</v>
      </c>
      <c r="E18" s="6">
        <v>1.1051334084839061E-3</v>
      </c>
      <c r="F18" s="6">
        <v>-1.8207874091346155</v>
      </c>
      <c r="G18" s="6">
        <v>-0.48587925753205208</v>
      </c>
      <c r="H18" s="6">
        <v>-1.8207874091346155</v>
      </c>
      <c r="I18" s="6">
        <v>-0.48587925753205208</v>
      </c>
    </row>
    <row r="19" spans="1:9" ht="15" thickBot="1">
      <c r="A19" s="7" t="s">
        <v>3</v>
      </c>
      <c r="B19" s="7">
        <v>0.30666666666666664</v>
      </c>
      <c r="C19" s="7">
        <v>3.5168546863892418E-2</v>
      </c>
      <c r="D19" s="7">
        <v>8.7199129339495567</v>
      </c>
      <c r="E19" s="7">
        <v>2.1939863668649101E-11</v>
      </c>
      <c r="F19" s="7">
        <v>0.23591667613157033</v>
      </c>
      <c r="G19" s="7">
        <v>0.37741665720176298</v>
      </c>
      <c r="H19" s="7">
        <v>0.23591667613157033</v>
      </c>
      <c r="I19" s="7">
        <v>0.37741665720176298</v>
      </c>
    </row>
    <row r="23" spans="1:9">
      <c r="A23" t="s">
        <v>32</v>
      </c>
    </row>
    <row r="24" spans="1:9" ht="15" thickBot="1"/>
    <row r="25" spans="1:9">
      <c r="A25" s="8" t="s">
        <v>33</v>
      </c>
      <c r="B25" s="8" t="s">
        <v>34</v>
      </c>
      <c r="C25" s="8" t="s">
        <v>35</v>
      </c>
    </row>
    <row r="26" spans="1:9">
      <c r="A26" s="6">
        <v>1</v>
      </c>
      <c r="B26" s="6">
        <v>9.8673333333333311</v>
      </c>
      <c r="C26" s="6">
        <v>-0.96733333333333071</v>
      </c>
    </row>
    <row r="27" spans="1:9">
      <c r="A27" s="6">
        <v>2</v>
      </c>
      <c r="B27" s="6">
        <v>11.093999999999998</v>
      </c>
      <c r="C27" s="6">
        <v>-1.5939999999999976</v>
      </c>
    </row>
    <row r="28" spans="1:9">
      <c r="A28" s="6">
        <v>3</v>
      </c>
      <c r="B28" s="6">
        <v>11.400666666666664</v>
      </c>
      <c r="C28" s="6">
        <v>-1.4006666666666643</v>
      </c>
    </row>
    <row r="29" spans="1:9">
      <c r="A29" s="6">
        <v>4</v>
      </c>
      <c r="B29" s="6">
        <v>9.5606666666666644</v>
      </c>
      <c r="C29" s="6">
        <v>0.63933333333333486</v>
      </c>
    </row>
    <row r="30" spans="1:9">
      <c r="A30" s="6">
        <v>5</v>
      </c>
      <c r="B30" s="6">
        <v>11.400666666666664</v>
      </c>
      <c r="C30" s="6">
        <v>-1.200666666666665</v>
      </c>
    </row>
    <row r="31" spans="1:9">
      <c r="A31" s="6">
        <v>6</v>
      </c>
      <c r="B31" s="6">
        <v>10.787333333333331</v>
      </c>
      <c r="C31" s="6">
        <v>-0.48733333333333029</v>
      </c>
    </row>
    <row r="32" spans="1:9">
      <c r="A32" s="6">
        <v>7</v>
      </c>
      <c r="B32" s="6">
        <v>11.400666666666664</v>
      </c>
      <c r="C32" s="6">
        <v>-0.90066666666666428</v>
      </c>
    </row>
    <row r="33" spans="1:3">
      <c r="A33" s="6">
        <v>8</v>
      </c>
      <c r="B33" s="6">
        <v>12.247333333333332</v>
      </c>
      <c r="C33" s="6">
        <v>-1.6473333333333322</v>
      </c>
    </row>
    <row r="34" spans="1:3">
      <c r="A34" s="6">
        <v>9</v>
      </c>
      <c r="B34" s="6">
        <v>10.480666666666664</v>
      </c>
      <c r="C34" s="6">
        <v>0.31933333333333636</v>
      </c>
    </row>
    <row r="35" spans="1:3">
      <c r="A35" s="6">
        <v>10</v>
      </c>
      <c r="B35" s="6">
        <v>11.020666666666665</v>
      </c>
      <c r="C35" s="6">
        <v>-2.0666666666665279E-2</v>
      </c>
    </row>
    <row r="36" spans="1:3">
      <c r="A36" s="6">
        <v>11</v>
      </c>
      <c r="B36" s="6">
        <v>12.860666666666665</v>
      </c>
      <c r="C36" s="6">
        <v>-1.8606666666666651</v>
      </c>
    </row>
    <row r="37" spans="1:3">
      <c r="A37" s="6">
        <v>12</v>
      </c>
      <c r="B37" s="6">
        <v>11.940666666666665</v>
      </c>
      <c r="C37" s="6">
        <v>-0.84066666666666556</v>
      </c>
    </row>
    <row r="38" spans="1:3">
      <c r="A38" s="6">
        <v>13</v>
      </c>
      <c r="B38" s="6">
        <v>11.633999999999999</v>
      </c>
      <c r="C38" s="6">
        <v>-0.43399999999999928</v>
      </c>
    </row>
    <row r="39" spans="1:3">
      <c r="A39" s="6">
        <v>14</v>
      </c>
      <c r="B39" s="6">
        <v>10.173999999999998</v>
      </c>
      <c r="C39" s="6">
        <v>1.126000000000003</v>
      </c>
    </row>
    <row r="40" spans="1:3">
      <c r="A40" s="6">
        <v>15</v>
      </c>
      <c r="B40" s="6">
        <v>12.320666666666664</v>
      </c>
      <c r="C40" s="6">
        <v>-0.92066666666666386</v>
      </c>
    </row>
    <row r="41" spans="1:3">
      <c r="A41" s="6">
        <v>16</v>
      </c>
      <c r="B41" s="6">
        <v>10.787333333333331</v>
      </c>
      <c r="C41" s="6">
        <v>0.712666666666669</v>
      </c>
    </row>
    <row r="42" spans="1:3">
      <c r="A42" s="6">
        <v>17</v>
      </c>
      <c r="B42" s="6">
        <v>11.707333333333331</v>
      </c>
      <c r="C42" s="6">
        <v>-0.20733333333333093</v>
      </c>
    </row>
    <row r="43" spans="1:3">
      <c r="A43" s="6">
        <v>18</v>
      </c>
      <c r="B43" s="6">
        <v>11.093999999999998</v>
      </c>
      <c r="C43" s="6">
        <v>0.506000000000002</v>
      </c>
    </row>
    <row r="44" spans="1:3">
      <c r="A44" s="6">
        <v>19</v>
      </c>
      <c r="B44" s="6">
        <v>12.553999999999998</v>
      </c>
      <c r="C44" s="6">
        <v>-0.8539999999999992</v>
      </c>
    </row>
    <row r="45" spans="1:3">
      <c r="A45" s="6">
        <v>20</v>
      </c>
      <c r="B45" s="6">
        <v>11.093999999999998</v>
      </c>
      <c r="C45" s="6">
        <v>0.80600000000000271</v>
      </c>
    </row>
    <row r="46" spans="1:3">
      <c r="A46" s="6">
        <v>21</v>
      </c>
      <c r="B46" s="6">
        <v>14.087333333333332</v>
      </c>
      <c r="C46" s="6">
        <v>-1.787333333333331</v>
      </c>
    </row>
    <row r="47" spans="1:3">
      <c r="A47" s="6">
        <v>22</v>
      </c>
      <c r="B47" s="6">
        <v>11.633999999999999</v>
      </c>
      <c r="C47" s="6">
        <v>0.96600000000000108</v>
      </c>
    </row>
    <row r="48" spans="1:3">
      <c r="A48" s="6">
        <v>23</v>
      </c>
      <c r="B48" s="6">
        <v>12.860666666666665</v>
      </c>
      <c r="C48" s="6">
        <v>-0.26066666666666549</v>
      </c>
    </row>
    <row r="49" spans="1:3">
      <c r="A49" s="6">
        <v>24</v>
      </c>
      <c r="B49" s="6">
        <v>12.320666666666664</v>
      </c>
      <c r="C49" s="6">
        <v>0.27933333333333543</v>
      </c>
    </row>
    <row r="50" spans="1:3">
      <c r="A50" s="6">
        <v>25</v>
      </c>
      <c r="B50" s="6">
        <v>13.473999999999998</v>
      </c>
      <c r="C50" s="6">
        <v>-0.37399999999999878</v>
      </c>
    </row>
    <row r="51" spans="1:3">
      <c r="A51" s="6">
        <v>26</v>
      </c>
      <c r="B51" s="6">
        <v>11.707333333333331</v>
      </c>
      <c r="C51" s="6">
        <v>1.4926666666666684</v>
      </c>
    </row>
    <row r="52" spans="1:3">
      <c r="A52" s="6">
        <v>27</v>
      </c>
      <c r="B52" s="6">
        <v>12.627333333333331</v>
      </c>
      <c r="C52" s="6">
        <v>0.57266666666666843</v>
      </c>
    </row>
    <row r="53" spans="1:3">
      <c r="A53" s="6">
        <v>28</v>
      </c>
      <c r="B53" s="6">
        <v>15.313999999999998</v>
      </c>
      <c r="C53" s="6">
        <v>-2.113999999999999</v>
      </c>
    </row>
    <row r="54" spans="1:3">
      <c r="A54" s="6">
        <v>29</v>
      </c>
      <c r="B54" s="6">
        <v>13.167333333333332</v>
      </c>
      <c r="C54" s="6">
        <v>0.23266666666666858</v>
      </c>
    </row>
    <row r="55" spans="1:3">
      <c r="A55" s="6">
        <v>30</v>
      </c>
      <c r="B55" s="6">
        <v>13.547333333333331</v>
      </c>
      <c r="C55" s="6">
        <v>-0.14733333333333043</v>
      </c>
    </row>
    <row r="56" spans="1:3">
      <c r="A56" s="6">
        <v>31</v>
      </c>
      <c r="B56" s="6">
        <v>14.393999999999998</v>
      </c>
      <c r="C56" s="6">
        <v>-0.89399999999999835</v>
      </c>
    </row>
    <row r="57" spans="1:3">
      <c r="A57" s="6">
        <v>32</v>
      </c>
      <c r="B57" s="6">
        <v>15.927333333333332</v>
      </c>
      <c r="C57" s="6">
        <v>-2.1273333333333309</v>
      </c>
    </row>
    <row r="58" spans="1:3">
      <c r="A58" s="6">
        <v>33</v>
      </c>
      <c r="B58" s="6">
        <v>12.247333333333332</v>
      </c>
      <c r="C58" s="6">
        <v>1.7526666666666681</v>
      </c>
    </row>
    <row r="59" spans="1:3">
      <c r="A59" s="6">
        <v>34</v>
      </c>
      <c r="B59" s="6">
        <v>12.860666666666665</v>
      </c>
      <c r="C59" s="6">
        <v>1.1393333333333349</v>
      </c>
    </row>
    <row r="60" spans="1:3">
      <c r="A60" s="6">
        <v>35</v>
      </c>
      <c r="B60" s="6">
        <v>14.087333333333332</v>
      </c>
      <c r="C60" s="6">
        <v>1.2666666666667936E-2</v>
      </c>
    </row>
    <row r="61" spans="1:3">
      <c r="A61" s="6">
        <v>36</v>
      </c>
      <c r="B61" s="6">
        <v>14.160666666666664</v>
      </c>
      <c r="C61" s="6">
        <v>-6.0666666666664426E-2</v>
      </c>
    </row>
    <row r="62" spans="1:3">
      <c r="A62" s="6">
        <v>37</v>
      </c>
      <c r="B62" s="6">
        <v>14.393999999999998</v>
      </c>
      <c r="C62" s="6">
        <v>-9.3999999999997641E-2</v>
      </c>
    </row>
    <row r="63" spans="1:3">
      <c r="A63" s="6">
        <v>38</v>
      </c>
      <c r="B63" s="6">
        <v>13.167333333333332</v>
      </c>
      <c r="C63" s="6">
        <v>1.5326666666666675</v>
      </c>
    </row>
    <row r="64" spans="1:3">
      <c r="A64" s="6">
        <v>39</v>
      </c>
      <c r="B64" s="6">
        <v>14.393999999999998</v>
      </c>
      <c r="C64" s="6">
        <v>0.30600000000000094</v>
      </c>
    </row>
    <row r="65" spans="1:3">
      <c r="A65" s="6">
        <v>40</v>
      </c>
      <c r="B65" s="6">
        <v>14.700666666666665</v>
      </c>
      <c r="C65" s="6">
        <v>-6.6666666666570507E-4</v>
      </c>
    </row>
    <row r="66" spans="1:3">
      <c r="A66" s="6">
        <v>41</v>
      </c>
      <c r="B66" s="6">
        <v>13.780666666666665</v>
      </c>
      <c r="C66" s="6">
        <v>1.1193333333333353</v>
      </c>
    </row>
    <row r="67" spans="1:3">
      <c r="A67" s="6">
        <v>42</v>
      </c>
      <c r="B67" s="6">
        <v>13.473999999999998</v>
      </c>
      <c r="C67" s="6">
        <v>1.6260000000000012</v>
      </c>
    </row>
    <row r="68" spans="1:3">
      <c r="A68" s="6">
        <v>43</v>
      </c>
      <c r="B68" s="6">
        <v>15.620666666666665</v>
      </c>
      <c r="C68" s="6">
        <v>-0.52066666666666528</v>
      </c>
    </row>
    <row r="69" spans="1:3">
      <c r="A69" s="6">
        <v>44</v>
      </c>
      <c r="B69" s="6">
        <v>14.087333333333332</v>
      </c>
      <c r="C69" s="6">
        <v>1.4126666666666683</v>
      </c>
    </row>
    <row r="70" spans="1:3">
      <c r="A70" s="6">
        <v>45</v>
      </c>
      <c r="B70" s="6">
        <v>15.007333333333332</v>
      </c>
      <c r="C70" s="6">
        <v>0.49266666666666836</v>
      </c>
    </row>
    <row r="71" spans="1:3">
      <c r="A71" s="6">
        <v>46</v>
      </c>
      <c r="B71" s="6">
        <v>14.700666666666665</v>
      </c>
      <c r="C71" s="6">
        <v>1.0993333333333357</v>
      </c>
    </row>
    <row r="72" spans="1:3">
      <c r="A72" s="6">
        <v>47</v>
      </c>
      <c r="B72" s="6">
        <v>14.467333333333331</v>
      </c>
      <c r="C72" s="6">
        <v>1.4326666666666696</v>
      </c>
    </row>
    <row r="73" spans="1:3">
      <c r="A73" s="6">
        <v>48</v>
      </c>
      <c r="B73" s="6">
        <v>15.313999999999998</v>
      </c>
      <c r="C73" s="6">
        <v>0.68600000000000172</v>
      </c>
    </row>
    <row r="74" spans="1:3">
      <c r="A74" s="6">
        <v>49</v>
      </c>
      <c r="B74" s="6">
        <v>15.620666666666665</v>
      </c>
      <c r="C74" s="6">
        <v>0.87933333333333508</v>
      </c>
    </row>
    <row r="75" spans="1:3" ht="15" thickBot="1">
      <c r="A75" s="7">
        <v>50</v>
      </c>
      <c r="B75" s="7">
        <v>15.927333333333332</v>
      </c>
      <c r="C75" s="7">
        <v>0.57266666666666843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F9" sqref="F9"/>
    </sheetView>
  </sheetViews>
  <sheetFormatPr defaultRowHeight="14.25"/>
  <cols>
    <col min="1" max="1" width="27.75" customWidth="1"/>
    <col min="2" max="2" width="18.625" customWidth="1"/>
    <col min="3" max="3" width="16" customWidth="1"/>
  </cols>
  <sheetData>
    <row r="1" spans="1:3">
      <c r="A1" t="s">
        <v>41</v>
      </c>
    </row>
    <row r="2" spans="1:3" ht="15" thickBot="1"/>
    <row r="3" spans="1:3">
      <c r="A3" s="8"/>
      <c r="B3" s="8" t="s">
        <v>39</v>
      </c>
      <c r="C3" s="8" t="s">
        <v>40</v>
      </c>
    </row>
    <row r="4" spans="1:3">
      <c r="A4" s="6" t="s">
        <v>42</v>
      </c>
      <c r="B4" s="6">
        <v>11.599999999999998</v>
      </c>
      <c r="C4" s="6">
        <v>13.75</v>
      </c>
    </row>
    <row r="5" spans="1:3">
      <c r="A5" s="6" t="s">
        <v>43</v>
      </c>
      <c r="B5" s="6">
        <v>2.9505263157894945</v>
      </c>
      <c r="C5" s="6">
        <v>3.0060344827586585</v>
      </c>
    </row>
    <row r="6" spans="1:3">
      <c r="A6" s="6" t="s">
        <v>15</v>
      </c>
      <c r="B6" s="6">
        <v>20</v>
      </c>
      <c r="C6" s="6">
        <v>30</v>
      </c>
    </row>
    <row r="7" spans="1:3">
      <c r="A7" s="6" t="s">
        <v>44</v>
      </c>
      <c r="B7" s="6">
        <v>0</v>
      </c>
      <c r="C7" s="6"/>
    </row>
    <row r="8" spans="1:3">
      <c r="A8" s="6" t="s">
        <v>21</v>
      </c>
      <c r="B8" s="6">
        <v>41</v>
      </c>
      <c r="C8" s="6"/>
    </row>
    <row r="9" spans="1:3">
      <c r="A9" s="6" t="s">
        <v>26</v>
      </c>
      <c r="B9" s="6">
        <v>-4.3196780584602941</v>
      </c>
      <c r="C9" s="6"/>
    </row>
    <row r="10" spans="1:3">
      <c r="A10" s="6" t="s">
        <v>45</v>
      </c>
      <c r="B10" s="6">
        <v>4.8405969690338641E-5</v>
      </c>
      <c r="C10" s="6"/>
    </row>
    <row r="11" spans="1:3">
      <c r="A11" s="6" t="s">
        <v>46</v>
      </c>
      <c r="B11" s="6">
        <v>1.6828780026054768</v>
      </c>
      <c r="C11" s="6"/>
    </row>
    <row r="12" spans="1:3">
      <c r="A12" s="6" t="s">
        <v>47</v>
      </c>
      <c r="B12" s="6">
        <v>9.6811939380677281E-5</v>
      </c>
      <c r="C12" s="6"/>
    </row>
    <row r="13" spans="1:3" ht="15" thickBot="1">
      <c r="A13" s="7" t="s">
        <v>48</v>
      </c>
      <c r="B13" s="7">
        <v>2.0195409482641882</v>
      </c>
      <c r="C13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4"/>
  <sheetViews>
    <sheetView workbookViewId="0">
      <selection sqref="A1:I74"/>
    </sheetView>
  </sheetViews>
  <sheetFormatPr defaultRowHeight="14.25"/>
  <cols>
    <col min="1" max="1" width="17.25" customWidth="1"/>
    <col min="2" max="2" width="13.25" customWidth="1"/>
    <col min="3" max="3" width="14.125" customWidth="1"/>
  </cols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0.52835361748033116</v>
      </c>
    </row>
    <row r="5" spans="1:9">
      <c r="A5" s="6" t="s">
        <v>12</v>
      </c>
      <c r="B5" s="6">
        <v>0.27915754510455215</v>
      </c>
    </row>
    <row r="6" spans="1:9">
      <c r="A6" s="6" t="s">
        <v>13</v>
      </c>
      <c r="B6" s="6">
        <v>0.26413999396089699</v>
      </c>
    </row>
    <row r="7" spans="1:9">
      <c r="A7" s="6" t="s">
        <v>14</v>
      </c>
      <c r="B7" s="6">
        <v>1.7274439209421528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1</v>
      </c>
      <c r="C12" s="6">
        <v>55.470000000000027</v>
      </c>
      <c r="D12" s="6">
        <v>55.470000000000027</v>
      </c>
      <c r="E12" s="6">
        <v>18.588752748978965</v>
      </c>
      <c r="F12" s="6">
        <v>8.0193862991762954E-5</v>
      </c>
    </row>
    <row r="13" spans="1:9">
      <c r="A13" s="6" t="s">
        <v>18</v>
      </c>
      <c r="B13" s="6">
        <v>48</v>
      </c>
      <c r="C13" s="6">
        <v>143.23499999999996</v>
      </c>
      <c r="D13" s="6">
        <v>2.984062499999999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198.70499999999998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11.600000000000001</v>
      </c>
      <c r="C17" s="6">
        <v>0.3862682034545426</v>
      </c>
      <c r="D17" s="6">
        <v>30.030947140501898</v>
      </c>
      <c r="E17" s="6">
        <v>9.033174543073981E-33</v>
      </c>
      <c r="F17" s="6">
        <v>10.823355738158215</v>
      </c>
      <c r="G17" s="6">
        <v>12.376644261841788</v>
      </c>
      <c r="H17" s="6">
        <v>10.823355738158215</v>
      </c>
      <c r="I17" s="6">
        <v>12.376644261841788</v>
      </c>
    </row>
    <row r="18" spans="1:9" ht="15" thickBot="1">
      <c r="A18" s="7" t="s">
        <v>49</v>
      </c>
      <c r="B18" s="7">
        <v>2.1499999999999977</v>
      </c>
      <c r="C18" s="7">
        <v>0.49867010638296705</v>
      </c>
      <c r="D18" s="7">
        <v>4.3114675864465148</v>
      </c>
      <c r="E18" s="7">
        <v>8.0193862991763509E-5</v>
      </c>
      <c r="F18" s="7">
        <v>1.1473565693197341</v>
      </c>
      <c r="G18" s="7">
        <v>3.1526434306802615</v>
      </c>
      <c r="H18" s="7">
        <v>1.1473565693197341</v>
      </c>
      <c r="I18" s="7">
        <v>3.1526434306802615</v>
      </c>
    </row>
    <row r="22" spans="1:9">
      <c r="A22" t="s">
        <v>32</v>
      </c>
    </row>
    <row r="23" spans="1:9" ht="15" thickBot="1"/>
    <row r="24" spans="1:9">
      <c r="A24" s="8" t="s">
        <v>33</v>
      </c>
      <c r="B24" s="8" t="s">
        <v>34</v>
      </c>
      <c r="C24" s="8" t="s">
        <v>35</v>
      </c>
    </row>
    <row r="25" spans="1:9">
      <c r="A25" s="6">
        <v>1</v>
      </c>
      <c r="B25" s="6">
        <v>11.600000000000001</v>
      </c>
      <c r="C25" s="6">
        <v>-2.7000000000000011</v>
      </c>
    </row>
    <row r="26" spans="1:9">
      <c r="A26" s="6">
        <v>2</v>
      </c>
      <c r="B26" s="6">
        <v>11.600000000000001</v>
      </c>
      <c r="C26" s="6">
        <v>-2.1000000000000014</v>
      </c>
    </row>
    <row r="27" spans="1:9">
      <c r="A27" s="6">
        <v>3</v>
      </c>
      <c r="B27" s="6">
        <v>11.600000000000001</v>
      </c>
      <c r="C27" s="6">
        <v>-1.6000000000000014</v>
      </c>
    </row>
    <row r="28" spans="1:9">
      <c r="A28" s="6">
        <v>4</v>
      </c>
      <c r="B28" s="6">
        <v>11.600000000000001</v>
      </c>
      <c r="C28" s="6">
        <v>-1.4000000000000021</v>
      </c>
    </row>
    <row r="29" spans="1:9">
      <c r="A29" s="6">
        <v>5</v>
      </c>
      <c r="B29" s="6">
        <v>11.600000000000001</v>
      </c>
      <c r="C29" s="6">
        <v>-1.4000000000000021</v>
      </c>
    </row>
    <row r="30" spans="1:9">
      <c r="A30" s="6">
        <v>6</v>
      </c>
      <c r="B30" s="6">
        <v>11.600000000000001</v>
      </c>
      <c r="C30" s="6">
        <v>-1.3000000000000007</v>
      </c>
    </row>
    <row r="31" spans="1:9">
      <c r="A31" s="6">
        <v>7</v>
      </c>
      <c r="B31" s="6">
        <v>11.600000000000001</v>
      </c>
      <c r="C31" s="6">
        <v>-1.1000000000000014</v>
      </c>
    </row>
    <row r="32" spans="1:9">
      <c r="A32" s="6">
        <v>8</v>
      </c>
      <c r="B32" s="6">
        <v>11.600000000000001</v>
      </c>
      <c r="C32" s="6">
        <v>-0.80000000000000071</v>
      </c>
    </row>
    <row r="33" spans="1:3">
      <c r="A33" s="6">
        <v>9</v>
      </c>
      <c r="B33" s="6">
        <v>11.600000000000001</v>
      </c>
      <c r="C33" s="6">
        <v>-0.30000000000000071</v>
      </c>
    </row>
    <row r="34" spans="1:3">
      <c r="A34" s="6">
        <v>10</v>
      </c>
      <c r="B34" s="6">
        <v>11.600000000000001</v>
      </c>
      <c r="C34" s="6">
        <v>-0.20000000000000107</v>
      </c>
    </row>
    <row r="35" spans="1:3">
      <c r="A35" s="6">
        <v>11</v>
      </c>
      <c r="B35" s="6">
        <v>11.600000000000001</v>
      </c>
      <c r="C35" s="6">
        <v>-0.10000000000000142</v>
      </c>
    </row>
    <row r="36" spans="1:3">
      <c r="A36" s="6">
        <v>12</v>
      </c>
      <c r="B36" s="6">
        <v>11.600000000000001</v>
      </c>
      <c r="C36" s="6">
        <v>-0.10000000000000142</v>
      </c>
    </row>
    <row r="37" spans="1:3">
      <c r="A37" s="6">
        <v>13</v>
      </c>
      <c r="B37" s="6">
        <v>11.600000000000001</v>
      </c>
      <c r="C37" s="6">
        <v>-1.7763568394002505E-15</v>
      </c>
    </row>
    <row r="38" spans="1:3">
      <c r="A38" s="6">
        <v>14</v>
      </c>
      <c r="B38" s="6">
        <v>11.600000000000001</v>
      </c>
      <c r="C38" s="6">
        <v>0.29999999999999893</v>
      </c>
    </row>
    <row r="39" spans="1:3">
      <c r="A39" s="6">
        <v>15</v>
      </c>
      <c r="B39" s="6">
        <v>11.600000000000001</v>
      </c>
      <c r="C39" s="6">
        <v>0.99999999999999822</v>
      </c>
    </row>
    <row r="40" spans="1:3">
      <c r="A40" s="6">
        <v>16</v>
      </c>
      <c r="B40" s="6">
        <v>11.600000000000001</v>
      </c>
      <c r="C40" s="6">
        <v>1.5999999999999979</v>
      </c>
    </row>
    <row r="41" spans="1:3">
      <c r="A41" s="6">
        <v>17</v>
      </c>
      <c r="B41" s="6">
        <v>11.600000000000001</v>
      </c>
      <c r="C41" s="6">
        <v>1.5999999999999979</v>
      </c>
    </row>
    <row r="42" spans="1:3">
      <c r="A42" s="6">
        <v>18</v>
      </c>
      <c r="B42" s="6">
        <v>11.600000000000001</v>
      </c>
      <c r="C42" s="6">
        <v>1.7999999999999989</v>
      </c>
    </row>
    <row r="43" spans="1:3">
      <c r="A43" s="6">
        <v>19</v>
      </c>
      <c r="B43" s="6">
        <v>11.600000000000001</v>
      </c>
      <c r="C43" s="6">
        <v>2.4999999999999982</v>
      </c>
    </row>
    <row r="44" spans="1:3">
      <c r="A44" s="6">
        <v>20</v>
      </c>
      <c r="B44" s="6">
        <v>11.600000000000001</v>
      </c>
      <c r="C44" s="6">
        <v>4.2999999999999989</v>
      </c>
    </row>
    <row r="45" spans="1:3">
      <c r="A45" s="6">
        <v>21</v>
      </c>
      <c r="B45" s="6">
        <v>13.75</v>
      </c>
      <c r="C45" s="6">
        <v>-3.1500000000000004</v>
      </c>
    </row>
    <row r="46" spans="1:3">
      <c r="A46" s="6">
        <v>22</v>
      </c>
      <c r="B46" s="6">
        <v>13.75</v>
      </c>
      <c r="C46" s="6">
        <v>-2.75</v>
      </c>
    </row>
    <row r="47" spans="1:3">
      <c r="A47" s="6">
        <v>23</v>
      </c>
      <c r="B47" s="6">
        <v>13.75</v>
      </c>
      <c r="C47" s="6">
        <v>-2.75</v>
      </c>
    </row>
    <row r="48" spans="1:3">
      <c r="A48" s="6">
        <v>24</v>
      </c>
      <c r="B48" s="6">
        <v>13.75</v>
      </c>
      <c r="C48" s="6">
        <v>-2.6500000000000004</v>
      </c>
    </row>
    <row r="49" spans="1:3">
      <c r="A49" s="6">
        <v>25</v>
      </c>
      <c r="B49" s="6">
        <v>13.75</v>
      </c>
      <c r="C49" s="6">
        <v>-2.5500000000000007</v>
      </c>
    </row>
    <row r="50" spans="1:3">
      <c r="A50" s="6">
        <v>26</v>
      </c>
      <c r="B50" s="6">
        <v>13.75</v>
      </c>
      <c r="C50" s="6">
        <v>-2.0500000000000007</v>
      </c>
    </row>
    <row r="51" spans="1:3">
      <c r="A51" s="6">
        <v>27</v>
      </c>
      <c r="B51" s="6">
        <v>13.75</v>
      </c>
      <c r="C51" s="6">
        <v>-1.4499999999999993</v>
      </c>
    </row>
    <row r="52" spans="1:3">
      <c r="A52" s="6">
        <v>28</v>
      </c>
      <c r="B52" s="6">
        <v>13.75</v>
      </c>
      <c r="C52" s="6">
        <v>-1.1500000000000004</v>
      </c>
    </row>
    <row r="53" spans="1:3">
      <c r="A53" s="6">
        <v>29</v>
      </c>
      <c r="B53" s="6">
        <v>13.75</v>
      </c>
      <c r="C53" s="6">
        <v>-1.1500000000000004</v>
      </c>
    </row>
    <row r="54" spans="1:3">
      <c r="A54" s="6">
        <v>30</v>
      </c>
      <c r="B54" s="6">
        <v>13.75</v>
      </c>
      <c r="C54" s="6">
        <v>-0.65000000000000036</v>
      </c>
    </row>
    <row r="55" spans="1:3">
      <c r="A55" s="6">
        <v>31</v>
      </c>
      <c r="B55" s="6">
        <v>13.75</v>
      </c>
      <c r="C55" s="6">
        <v>-0.55000000000000071</v>
      </c>
    </row>
    <row r="56" spans="1:3">
      <c r="A56" s="6">
        <v>32</v>
      </c>
      <c r="B56" s="6">
        <v>13.75</v>
      </c>
      <c r="C56" s="6">
        <v>-0.34999999999999964</v>
      </c>
    </row>
    <row r="57" spans="1:3">
      <c r="A57" s="6">
        <v>33</v>
      </c>
      <c r="B57" s="6">
        <v>13.75</v>
      </c>
      <c r="C57" s="6">
        <v>-0.25</v>
      </c>
    </row>
    <row r="58" spans="1:3">
      <c r="A58" s="6">
        <v>34</v>
      </c>
      <c r="B58" s="6">
        <v>13.75</v>
      </c>
      <c r="C58" s="6">
        <v>5.0000000000000711E-2</v>
      </c>
    </row>
    <row r="59" spans="1:3">
      <c r="A59" s="6">
        <v>35</v>
      </c>
      <c r="B59" s="6">
        <v>13.75</v>
      </c>
      <c r="C59" s="6">
        <v>0.25</v>
      </c>
    </row>
    <row r="60" spans="1:3">
      <c r="A60" s="6">
        <v>36</v>
      </c>
      <c r="B60" s="6">
        <v>13.75</v>
      </c>
      <c r="C60" s="6">
        <v>0.25</v>
      </c>
    </row>
    <row r="61" spans="1:3">
      <c r="A61" s="6">
        <v>37</v>
      </c>
      <c r="B61" s="6">
        <v>13.75</v>
      </c>
      <c r="C61" s="6">
        <v>0.34999999999999964</v>
      </c>
    </row>
    <row r="62" spans="1:3">
      <c r="A62" s="6">
        <v>38</v>
      </c>
      <c r="B62" s="6">
        <v>13.75</v>
      </c>
      <c r="C62" s="6">
        <v>0.55000000000000071</v>
      </c>
    </row>
    <row r="63" spans="1:3">
      <c r="A63" s="6">
        <v>39</v>
      </c>
      <c r="B63" s="6">
        <v>13.75</v>
      </c>
      <c r="C63" s="6">
        <v>0.94999999999999929</v>
      </c>
    </row>
    <row r="64" spans="1:3">
      <c r="A64" s="6">
        <v>40</v>
      </c>
      <c r="B64" s="6">
        <v>13.75</v>
      </c>
      <c r="C64" s="6">
        <v>0.94999999999999929</v>
      </c>
    </row>
    <row r="65" spans="1:3">
      <c r="A65" s="6">
        <v>41</v>
      </c>
      <c r="B65" s="6">
        <v>13.75</v>
      </c>
      <c r="C65" s="6">
        <v>0.94999999999999929</v>
      </c>
    </row>
    <row r="66" spans="1:3">
      <c r="A66" s="6">
        <v>42</v>
      </c>
      <c r="B66" s="6">
        <v>13.75</v>
      </c>
      <c r="C66" s="6">
        <v>1.1500000000000004</v>
      </c>
    </row>
    <row r="67" spans="1:3">
      <c r="A67" s="6">
        <v>43</v>
      </c>
      <c r="B67" s="6">
        <v>13.75</v>
      </c>
      <c r="C67" s="6">
        <v>1.3499999999999996</v>
      </c>
    </row>
    <row r="68" spans="1:3">
      <c r="A68" s="6">
        <v>44</v>
      </c>
      <c r="B68" s="6">
        <v>13.75</v>
      </c>
      <c r="C68" s="6">
        <v>1.3499999999999996</v>
      </c>
    </row>
    <row r="69" spans="1:3">
      <c r="A69" s="6">
        <v>45</v>
      </c>
      <c r="B69" s="6">
        <v>13.75</v>
      </c>
      <c r="C69" s="6">
        <v>1.75</v>
      </c>
    </row>
    <row r="70" spans="1:3">
      <c r="A70" s="6">
        <v>46</v>
      </c>
      <c r="B70" s="6">
        <v>13.75</v>
      </c>
      <c r="C70" s="6">
        <v>1.75</v>
      </c>
    </row>
    <row r="71" spans="1:3">
      <c r="A71" s="6">
        <v>47</v>
      </c>
      <c r="B71" s="6">
        <v>13.75</v>
      </c>
      <c r="C71" s="6">
        <v>2.0500000000000007</v>
      </c>
    </row>
    <row r="72" spans="1:3">
      <c r="A72" s="6">
        <v>48</v>
      </c>
      <c r="B72" s="6">
        <v>13.75</v>
      </c>
      <c r="C72" s="6">
        <v>2.25</v>
      </c>
    </row>
    <row r="73" spans="1:3">
      <c r="A73" s="6">
        <v>49</v>
      </c>
      <c r="B73" s="6">
        <v>13.75</v>
      </c>
      <c r="C73" s="6">
        <v>2.75</v>
      </c>
    </row>
    <row r="74" spans="1:3" ht="15" thickBot="1">
      <c r="A74" s="7">
        <v>50</v>
      </c>
      <c r="B74" s="7">
        <v>13.75</v>
      </c>
      <c r="C74" s="7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5"/>
  <sheetViews>
    <sheetView workbookViewId="0">
      <selection sqref="A1:I75"/>
    </sheetView>
  </sheetViews>
  <sheetFormatPr defaultRowHeight="14.25"/>
  <cols>
    <col min="1" max="1" width="16.875" customWidth="1"/>
    <col min="2" max="2" width="12" customWidth="1"/>
    <col min="3" max="3" width="14.75" customWidth="1"/>
  </cols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0.85125713052157448</v>
      </c>
    </row>
    <row r="5" spans="1:9">
      <c r="A5" s="6" t="s">
        <v>12</v>
      </c>
      <c r="B5" s="6">
        <v>0.72463870226382487</v>
      </c>
    </row>
    <row r="6" spans="1:9">
      <c r="A6" s="6" t="s">
        <v>13</v>
      </c>
      <c r="B6" s="6">
        <v>0.71292120023249828</v>
      </c>
    </row>
    <row r="7" spans="1:9">
      <c r="A7" s="6" t="s">
        <v>14</v>
      </c>
      <c r="B7" s="6">
        <v>1.0789639106881082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2</v>
      </c>
      <c r="C12" s="6">
        <v>143.98933333333332</v>
      </c>
      <c r="D12" s="6">
        <v>71.99466666666666</v>
      </c>
      <c r="E12" s="6">
        <v>61.842421731740444</v>
      </c>
      <c r="F12" s="6">
        <v>6.8820550809924179E-14</v>
      </c>
    </row>
    <row r="13" spans="1:9">
      <c r="A13" s="6" t="s">
        <v>18</v>
      </c>
      <c r="B13" s="6">
        <v>47</v>
      </c>
      <c r="C13" s="6">
        <v>54.715666666666664</v>
      </c>
      <c r="D13" s="6">
        <v>1.1641631205673759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198.70499999999998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9.5606666666666662</v>
      </c>
      <c r="C17" s="6">
        <v>0.33601149423992499</v>
      </c>
      <c r="D17" s="6">
        <v>28.453391715939297</v>
      </c>
      <c r="E17" s="6">
        <v>2.8144310642454735E-31</v>
      </c>
      <c r="F17" s="6">
        <v>8.8846987419243142</v>
      </c>
      <c r="G17" s="6">
        <v>10.236634591409018</v>
      </c>
      <c r="H17" s="6">
        <v>8.8846987419243142</v>
      </c>
      <c r="I17" s="6">
        <v>10.236634591409018</v>
      </c>
    </row>
    <row r="18" spans="1:9">
      <c r="A18" s="6" t="s">
        <v>3</v>
      </c>
      <c r="B18" s="6">
        <v>0.30666666666666675</v>
      </c>
      <c r="C18" s="6">
        <v>3.5168546863892411E-2</v>
      </c>
      <c r="D18" s="6">
        <v>8.719912933949562</v>
      </c>
      <c r="E18" s="6">
        <v>2.1939863667183444E-11</v>
      </c>
      <c r="F18" s="6">
        <v>0.23591667731417515</v>
      </c>
      <c r="G18" s="6">
        <v>0.37741665601915836</v>
      </c>
      <c r="H18" s="6">
        <v>0.23591667731417515</v>
      </c>
      <c r="I18" s="6">
        <v>0.37741665601915836</v>
      </c>
    </row>
    <row r="19" spans="1:9" ht="15" thickBot="1">
      <c r="A19" s="7" t="s">
        <v>49</v>
      </c>
      <c r="B19" s="7">
        <v>1.1533333333333324</v>
      </c>
      <c r="C19" s="7">
        <v>0.33177940755580937</v>
      </c>
      <c r="D19" s="7">
        <v>3.4762052950478175</v>
      </c>
      <c r="E19" s="7">
        <v>1.1051334048359888E-3</v>
      </c>
      <c r="F19" s="7">
        <v>0.48587926868872117</v>
      </c>
      <c r="G19" s="7">
        <v>1.8207873979779436</v>
      </c>
      <c r="H19" s="7">
        <v>0.48587926868872117</v>
      </c>
      <c r="I19" s="7">
        <v>1.8207873979779436</v>
      </c>
    </row>
    <row r="23" spans="1:9">
      <c r="A23" t="s">
        <v>32</v>
      </c>
    </row>
    <row r="24" spans="1:9" ht="15" thickBot="1"/>
    <row r="25" spans="1:9">
      <c r="A25" s="8" t="s">
        <v>33</v>
      </c>
      <c r="B25" s="8" t="s">
        <v>34</v>
      </c>
      <c r="C25" s="8" t="s">
        <v>35</v>
      </c>
    </row>
    <row r="26" spans="1:9">
      <c r="A26" s="6">
        <v>1</v>
      </c>
      <c r="B26" s="6">
        <v>9.8673333333333328</v>
      </c>
      <c r="C26" s="6">
        <v>-0.96733333333333249</v>
      </c>
    </row>
    <row r="27" spans="1:9">
      <c r="A27" s="6">
        <v>2</v>
      </c>
      <c r="B27" s="6">
        <v>11.093999999999999</v>
      </c>
      <c r="C27" s="6">
        <v>-1.5939999999999994</v>
      </c>
    </row>
    <row r="28" spans="1:9">
      <c r="A28" s="6">
        <v>3</v>
      </c>
      <c r="B28" s="6">
        <v>11.400666666666666</v>
      </c>
      <c r="C28" s="6">
        <v>-1.4006666666666661</v>
      </c>
    </row>
    <row r="29" spans="1:9">
      <c r="A29" s="6">
        <v>4</v>
      </c>
      <c r="B29" s="6">
        <v>9.5606666666666662</v>
      </c>
      <c r="C29" s="6">
        <v>0.63933333333333309</v>
      </c>
    </row>
    <row r="30" spans="1:9">
      <c r="A30" s="6">
        <v>5</v>
      </c>
      <c r="B30" s="6">
        <v>11.400666666666666</v>
      </c>
      <c r="C30" s="6">
        <v>-1.2006666666666668</v>
      </c>
    </row>
    <row r="31" spans="1:9">
      <c r="A31" s="6">
        <v>6</v>
      </c>
      <c r="B31" s="6">
        <v>10.787333333333333</v>
      </c>
      <c r="C31" s="6">
        <v>-0.48733333333333206</v>
      </c>
    </row>
    <row r="32" spans="1:9">
      <c r="A32" s="6">
        <v>7</v>
      </c>
      <c r="B32" s="6">
        <v>11.400666666666666</v>
      </c>
      <c r="C32" s="6">
        <v>-0.90066666666666606</v>
      </c>
    </row>
    <row r="33" spans="1:3">
      <c r="A33" s="6">
        <v>8</v>
      </c>
      <c r="B33" s="6">
        <v>10.480666666666666</v>
      </c>
      <c r="C33" s="6">
        <v>0.31933333333333458</v>
      </c>
    </row>
    <row r="34" spans="1:3">
      <c r="A34" s="6">
        <v>9</v>
      </c>
      <c r="B34" s="6">
        <v>10.173999999999999</v>
      </c>
      <c r="C34" s="6">
        <v>1.1260000000000012</v>
      </c>
    </row>
    <row r="35" spans="1:3">
      <c r="A35" s="6">
        <v>10</v>
      </c>
      <c r="B35" s="6">
        <v>12.320666666666668</v>
      </c>
      <c r="C35" s="6">
        <v>-0.92066666666666741</v>
      </c>
    </row>
    <row r="36" spans="1:3">
      <c r="A36" s="6">
        <v>11</v>
      </c>
      <c r="B36" s="6">
        <v>10.787333333333333</v>
      </c>
      <c r="C36" s="6">
        <v>0.71266666666666723</v>
      </c>
    </row>
    <row r="37" spans="1:3">
      <c r="A37" s="6">
        <v>12</v>
      </c>
      <c r="B37" s="6">
        <v>11.707333333333333</v>
      </c>
      <c r="C37" s="6">
        <v>-0.2073333333333327</v>
      </c>
    </row>
    <row r="38" spans="1:3">
      <c r="A38" s="6">
        <v>13</v>
      </c>
      <c r="B38" s="6">
        <v>11.093999999999999</v>
      </c>
      <c r="C38" s="6">
        <v>0.50600000000000023</v>
      </c>
    </row>
    <row r="39" spans="1:3">
      <c r="A39" s="6">
        <v>14</v>
      </c>
      <c r="B39" s="6">
        <v>11.093999999999999</v>
      </c>
      <c r="C39" s="6">
        <v>0.80600000000000094</v>
      </c>
    </row>
    <row r="40" spans="1:3">
      <c r="A40" s="6">
        <v>15</v>
      </c>
      <c r="B40" s="6">
        <v>12.320666666666668</v>
      </c>
      <c r="C40" s="6">
        <v>0.27933333333333188</v>
      </c>
    </row>
    <row r="41" spans="1:3">
      <c r="A41" s="6">
        <v>16</v>
      </c>
      <c r="B41" s="6">
        <v>11.707333333333333</v>
      </c>
      <c r="C41" s="6">
        <v>1.4926666666666666</v>
      </c>
    </row>
    <row r="42" spans="1:3">
      <c r="A42" s="6">
        <v>17</v>
      </c>
      <c r="B42" s="6">
        <v>12.627333333333334</v>
      </c>
      <c r="C42" s="6">
        <v>0.57266666666666488</v>
      </c>
    </row>
    <row r="43" spans="1:3">
      <c r="A43" s="6">
        <v>18</v>
      </c>
      <c r="B43" s="6">
        <v>13.547333333333334</v>
      </c>
      <c r="C43" s="6">
        <v>-0.14733333333333398</v>
      </c>
    </row>
    <row r="44" spans="1:3">
      <c r="A44" s="6">
        <v>19</v>
      </c>
      <c r="B44" s="6">
        <v>14.160666666666668</v>
      </c>
      <c r="C44" s="6">
        <v>-6.0666666666667979E-2</v>
      </c>
    </row>
    <row r="45" spans="1:3">
      <c r="A45" s="6">
        <v>20</v>
      </c>
      <c r="B45" s="6">
        <v>14.467333333333334</v>
      </c>
      <c r="C45" s="6">
        <v>1.4326666666666661</v>
      </c>
    </row>
    <row r="46" spans="1:3">
      <c r="A46" s="6">
        <v>21</v>
      </c>
      <c r="B46" s="6">
        <v>12.247333333333332</v>
      </c>
      <c r="C46" s="6">
        <v>-1.6473333333333322</v>
      </c>
    </row>
    <row r="47" spans="1:3">
      <c r="A47" s="6">
        <v>22</v>
      </c>
      <c r="B47" s="6">
        <v>11.020666666666665</v>
      </c>
      <c r="C47" s="6">
        <v>-2.0666666666665279E-2</v>
      </c>
    </row>
    <row r="48" spans="1:3">
      <c r="A48" s="6">
        <v>23</v>
      </c>
      <c r="B48" s="6">
        <v>12.860666666666665</v>
      </c>
      <c r="C48" s="6">
        <v>-1.8606666666666651</v>
      </c>
    </row>
    <row r="49" spans="1:3">
      <c r="A49" s="6">
        <v>24</v>
      </c>
      <c r="B49" s="6">
        <v>11.940666666666665</v>
      </c>
      <c r="C49" s="6">
        <v>-0.84066666666666556</v>
      </c>
    </row>
    <row r="50" spans="1:3">
      <c r="A50" s="6">
        <v>25</v>
      </c>
      <c r="B50" s="6">
        <v>11.633999999999999</v>
      </c>
      <c r="C50" s="6">
        <v>-0.43399999999999928</v>
      </c>
    </row>
    <row r="51" spans="1:3">
      <c r="A51" s="6">
        <v>26</v>
      </c>
      <c r="B51" s="6">
        <v>12.553999999999998</v>
      </c>
      <c r="C51" s="6">
        <v>-0.8539999999999992</v>
      </c>
    </row>
    <row r="52" spans="1:3">
      <c r="A52" s="6">
        <v>27</v>
      </c>
      <c r="B52" s="6">
        <v>14.087333333333333</v>
      </c>
      <c r="C52" s="6">
        <v>-1.7873333333333328</v>
      </c>
    </row>
    <row r="53" spans="1:3">
      <c r="A53" s="6">
        <v>28</v>
      </c>
      <c r="B53" s="6">
        <v>11.633999999999999</v>
      </c>
      <c r="C53" s="6">
        <v>0.96600000000000108</v>
      </c>
    </row>
    <row r="54" spans="1:3">
      <c r="A54" s="6">
        <v>29</v>
      </c>
      <c r="B54" s="6">
        <v>12.860666666666665</v>
      </c>
      <c r="C54" s="6">
        <v>-0.26066666666666549</v>
      </c>
    </row>
    <row r="55" spans="1:3">
      <c r="A55" s="6">
        <v>30</v>
      </c>
      <c r="B55" s="6">
        <v>13.474</v>
      </c>
      <c r="C55" s="6">
        <v>-0.37400000000000055</v>
      </c>
    </row>
    <row r="56" spans="1:3">
      <c r="A56" s="6">
        <v>31</v>
      </c>
      <c r="B56" s="6">
        <v>15.314</v>
      </c>
      <c r="C56" s="6">
        <v>-2.1140000000000008</v>
      </c>
    </row>
    <row r="57" spans="1:3">
      <c r="A57" s="6">
        <v>32</v>
      </c>
      <c r="B57" s="6">
        <v>13.167333333333332</v>
      </c>
      <c r="C57" s="6">
        <v>0.23266666666666858</v>
      </c>
    </row>
    <row r="58" spans="1:3">
      <c r="A58" s="6">
        <v>33</v>
      </c>
      <c r="B58" s="6">
        <v>14.394</v>
      </c>
      <c r="C58" s="6">
        <v>-0.89400000000000013</v>
      </c>
    </row>
    <row r="59" spans="1:3">
      <c r="A59" s="6">
        <v>34</v>
      </c>
      <c r="B59" s="6">
        <v>15.927333333333333</v>
      </c>
      <c r="C59" s="6">
        <v>-2.1273333333333326</v>
      </c>
    </row>
    <row r="60" spans="1:3">
      <c r="A60" s="6">
        <v>35</v>
      </c>
      <c r="B60" s="6">
        <v>12.247333333333332</v>
      </c>
      <c r="C60" s="6">
        <v>1.7526666666666681</v>
      </c>
    </row>
    <row r="61" spans="1:3">
      <c r="A61" s="6">
        <v>36</v>
      </c>
      <c r="B61" s="6">
        <v>12.860666666666665</v>
      </c>
      <c r="C61" s="6">
        <v>1.1393333333333349</v>
      </c>
    </row>
    <row r="62" spans="1:3">
      <c r="A62" s="6">
        <v>37</v>
      </c>
      <c r="B62" s="6">
        <v>14.087333333333333</v>
      </c>
      <c r="C62" s="6">
        <v>1.266666666666616E-2</v>
      </c>
    </row>
    <row r="63" spans="1:3">
      <c r="A63" s="6">
        <v>38</v>
      </c>
      <c r="B63" s="6">
        <v>14.394</v>
      </c>
      <c r="C63" s="6">
        <v>-9.3999999999999417E-2</v>
      </c>
    </row>
    <row r="64" spans="1:3">
      <c r="A64" s="6">
        <v>39</v>
      </c>
      <c r="B64" s="6">
        <v>13.167333333333332</v>
      </c>
      <c r="C64" s="6">
        <v>1.5326666666666675</v>
      </c>
    </row>
    <row r="65" spans="1:3">
      <c r="A65" s="6">
        <v>40</v>
      </c>
      <c r="B65" s="6">
        <v>14.394</v>
      </c>
      <c r="C65" s="6">
        <v>0.30599999999999916</v>
      </c>
    </row>
    <row r="66" spans="1:3">
      <c r="A66" s="6">
        <v>41</v>
      </c>
      <c r="B66" s="6">
        <v>14.700666666666667</v>
      </c>
      <c r="C66" s="6">
        <v>-6.6666666666748142E-4</v>
      </c>
    </row>
    <row r="67" spans="1:3">
      <c r="A67" s="6">
        <v>42</v>
      </c>
      <c r="B67" s="6">
        <v>13.780666666666667</v>
      </c>
      <c r="C67" s="6">
        <v>1.1193333333333335</v>
      </c>
    </row>
    <row r="68" spans="1:3">
      <c r="A68" s="6">
        <v>43</v>
      </c>
      <c r="B68" s="6">
        <v>13.474</v>
      </c>
      <c r="C68" s="6">
        <v>1.6259999999999994</v>
      </c>
    </row>
    <row r="69" spans="1:3">
      <c r="A69" s="6">
        <v>44</v>
      </c>
      <c r="B69" s="6">
        <v>15.620666666666667</v>
      </c>
      <c r="C69" s="6">
        <v>-0.52066666666666706</v>
      </c>
    </row>
    <row r="70" spans="1:3">
      <c r="A70" s="6">
        <v>45</v>
      </c>
      <c r="B70" s="6">
        <v>14.087333333333333</v>
      </c>
      <c r="C70" s="6">
        <v>1.4126666666666665</v>
      </c>
    </row>
    <row r="71" spans="1:3">
      <c r="A71" s="6">
        <v>46</v>
      </c>
      <c r="B71" s="6">
        <v>15.007333333333333</v>
      </c>
      <c r="C71" s="6">
        <v>0.49266666666666659</v>
      </c>
    </row>
    <row r="72" spans="1:3">
      <c r="A72" s="6">
        <v>47</v>
      </c>
      <c r="B72" s="6">
        <v>14.700666666666667</v>
      </c>
      <c r="C72" s="6">
        <v>1.0993333333333339</v>
      </c>
    </row>
    <row r="73" spans="1:3">
      <c r="A73" s="6">
        <v>48</v>
      </c>
      <c r="B73" s="6">
        <v>15.314</v>
      </c>
      <c r="C73" s="6">
        <v>0.68599999999999994</v>
      </c>
    </row>
    <row r="74" spans="1:3">
      <c r="A74" s="6">
        <v>49</v>
      </c>
      <c r="B74" s="6">
        <v>15.620666666666667</v>
      </c>
      <c r="C74" s="6">
        <v>0.8793333333333333</v>
      </c>
    </row>
    <row r="75" spans="1:3" ht="15" thickBot="1">
      <c r="A75" s="7">
        <v>50</v>
      </c>
      <c r="B75" s="7">
        <v>15.927333333333333</v>
      </c>
      <c r="C75" s="7">
        <v>0.57266666666666666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>
      <selection sqref="A1:I74"/>
    </sheetView>
  </sheetViews>
  <sheetFormatPr defaultRowHeight="14.25"/>
  <cols>
    <col min="1" max="1" width="15.625" customWidth="1"/>
    <col min="2" max="2" width="16.25" customWidth="1"/>
    <col min="3" max="3" width="12.75" customWidth="1"/>
  </cols>
  <sheetData>
    <row r="1" spans="1:9">
      <c r="A1" t="s">
        <v>9</v>
      </c>
    </row>
    <row r="2" spans="1:9" ht="15" thickBot="1"/>
    <row r="3" spans="1:9">
      <c r="A3" s="9" t="s">
        <v>10</v>
      </c>
      <c r="B3" s="9"/>
    </row>
    <row r="4" spans="1:9">
      <c r="A4" s="6" t="s">
        <v>11</v>
      </c>
      <c r="B4" s="6">
        <v>0.52835361748033116</v>
      </c>
    </row>
    <row r="5" spans="1:9">
      <c r="A5" s="6" t="s">
        <v>12</v>
      </c>
      <c r="B5" s="6">
        <v>0.27915754510455215</v>
      </c>
    </row>
    <row r="6" spans="1:9">
      <c r="A6" s="6" t="s">
        <v>13</v>
      </c>
      <c r="B6" s="6">
        <v>0.26413999396089699</v>
      </c>
    </row>
    <row r="7" spans="1:9">
      <c r="A7" s="6" t="s">
        <v>14</v>
      </c>
      <c r="B7" s="6">
        <v>1.7274439209421528</v>
      </c>
    </row>
    <row r="8" spans="1:9" ht="15" thickBot="1">
      <c r="A8" s="7" t="s">
        <v>15</v>
      </c>
      <c r="B8" s="7">
        <v>50</v>
      </c>
    </row>
    <row r="10" spans="1:9" ht="15" thickBot="1">
      <c r="A10" t="s">
        <v>16</v>
      </c>
    </row>
    <row r="11" spans="1:9">
      <c r="A11" s="8"/>
      <c r="B11" s="8" t="s">
        <v>21</v>
      </c>
      <c r="C11" s="8" t="s">
        <v>22</v>
      </c>
      <c r="D11" s="8" t="s">
        <v>23</v>
      </c>
      <c r="E11" s="8" t="s">
        <v>5</v>
      </c>
      <c r="F11" s="8" t="s">
        <v>24</v>
      </c>
    </row>
    <row r="12" spans="1:9">
      <c r="A12" s="6" t="s">
        <v>17</v>
      </c>
      <c r="B12" s="6">
        <v>1</v>
      </c>
      <c r="C12" s="6">
        <v>55.470000000000027</v>
      </c>
      <c r="D12" s="6">
        <v>55.470000000000027</v>
      </c>
      <c r="E12" s="6">
        <v>18.588752748978965</v>
      </c>
      <c r="F12" s="6">
        <v>8.0193862991762954E-5</v>
      </c>
    </row>
    <row r="13" spans="1:9">
      <c r="A13" s="6" t="s">
        <v>18</v>
      </c>
      <c r="B13" s="6">
        <v>48</v>
      </c>
      <c r="C13" s="6">
        <v>143.23499999999996</v>
      </c>
      <c r="D13" s="6">
        <v>2.984062499999999</v>
      </c>
      <c r="E13" s="6"/>
      <c r="F13" s="6"/>
    </row>
    <row r="14" spans="1:9" ht="15" thickBot="1">
      <c r="A14" s="7" t="s">
        <v>19</v>
      </c>
      <c r="B14" s="7">
        <v>49</v>
      </c>
      <c r="C14" s="7">
        <v>198.70499999999998</v>
      </c>
      <c r="D14" s="7"/>
      <c r="E14" s="7"/>
      <c r="F14" s="7"/>
    </row>
    <row r="15" spans="1:9" ht="15" thickBot="1"/>
    <row r="16" spans="1:9">
      <c r="A16" s="8"/>
      <c r="B16" s="8" t="s">
        <v>25</v>
      </c>
      <c r="C16" s="8" t="s">
        <v>14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30</v>
      </c>
      <c r="I16" s="8" t="s">
        <v>31</v>
      </c>
    </row>
    <row r="17" spans="1:9">
      <c r="A17" s="6" t="s">
        <v>20</v>
      </c>
      <c r="B17" s="6">
        <v>13.75</v>
      </c>
      <c r="C17" s="6">
        <v>0.31538666744172922</v>
      </c>
      <c r="D17" s="6">
        <v>43.597277308941564</v>
      </c>
      <c r="E17" s="6">
        <v>2.884320020129955E-40</v>
      </c>
      <c r="F17" s="6">
        <v>13.115872615609044</v>
      </c>
      <c r="G17" s="6">
        <v>14.384127384390956</v>
      </c>
      <c r="H17" s="6">
        <v>13.115872615609044</v>
      </c>
      <c r="I17" s="6">
        <v>14.384127384390956</v>
      </c>
    </row>
    <row r="18" spans="1:9" ht="15" thickBot="1">
      <c r="A18" s="7" t="s">
        <v>52</v>
      </c>
      <c r="B18" s="7">
        <v>-2.1499999999999977</v>
      </c>
      <c r="C18" s="7">
        <v>0.49867010638296705</v>
      </c>
      <c r="D18" s="7">
        <v>-4.3114675864465148</v>
      </c>
      <c r="E18" s="7">
        <v>8.0193862991763509E-5</v>
      </c>
      <c r="F18" s="7">
        <v>-3.1526434306802615</v>
      </c>
      <c r="G18" s="7">
        <v>-1.1473565693197341</v>
      </c>
      <c r="H18" s="7">
        <v>-3.1526434306802615</v>
      </c>
      <c r="I18" s="7">
        <v>-1.1473565693197341</v>
      </c>
    </row>
    <row r="22" spans="1:9">
      <c r="A22" t="s">
        <v>32</v>
      </c>
    </row>
    <row r="23" spans="1:9" ht="15" thickBot="1"/>
    <row r="24" spans="1:9">
      <c r="A24" s="8" t="s">
        <v>33</v>
      </c>
      <c r="B24" s="8" t="s">
        <v>34</v>
      </c>
      <c r="C24" s="8" t="s">
        <v>35</v>
      </c>
    </row>
    <row r="25" spans="1:9">
      <c r="A25" s="6">
        <v>1</v>
      </c>
      <c r="B25" s="6">
        <v>11.600000000000001</v>
      </c>
      <c r="C25" s="6">
        <v>-2.7000000000000011</v>
      </c>
    </row>
    <row r="26" spans="1:9">
      <c r="A26" s="6">
        <v>2</v>
      </c>
      <c r="B26" s="6">
        <v>11.600000000000001</v>
      </c>
      <c r="C26" s="6">
        <v>-2.1000000000000014</v>
      </c>
    </row>
    <row r="27" spans="1:9">
      <c r="A27" s="6">
        <v>3</v>
      </c>
      <c r="B27" s="6">
        <v>11.600000000000001</v>
      </c>
      <c r="C27" s="6">
        <v>-1.6000000000000014</v>
      </c>
    </row>
    <row r="28" spans="1:9">
      <c r="A28" s="6">
        <v>4</v>
      </c>
      <c r="B28" s="6">
        <v>11.600000000000001</v>
      </c>
      <c r="C28" s="6">
        <v>-1.4000000000000021</v>
      </c>
    </row>
    <row r="29" spans="1:9">
      <c r="A29" s="6">
        <v>5</v>
      </c>
      <c r="B29" s="6">
        <v>11.600000000000001</v>
      </c>
      <c r="C29" s="6">
        <v>-1.4000000000000021</v>
      </c>
    </row>
    <row r="30" spans="1:9">
      <c r="A30" s="6">
        <v>6</v>
      </c>
      <c r="B30" s="6">
        <v>11.600000000000001</v>
      </c>
      <c r="C30" s="6">
        <v>-1.3000000000000007</v>
      </c>
    </row>
    <row r="31" spans="1:9">
      <c r="A31" s="6">
        <v>7</v>
      </c>
      <c r="B31" s="6">
        <v>11.600000000000001</v>
      </c>
      <c r="C31" s="6">
        <v>-1.1000000000000014</v>
      </c>
    </row>
    <row r="32" spans="1:9">
      <c r="A32" s="6">
        <v>8</v>
      </c>
      <c r="B32" s="6">
        <v>11.600000000000001</v>
      </c>
      <c r="C32" s="6">
        <v>-0.80000000000000071</v>
      </c>
    </row>
    <row r="33" spans="1:3">
      <c r="A33" s="6">
        <v>9</v>
      </c>
      <c r="B33" s="6">
        <v>11.600000000000001</v>
      </c>
      <c r="C33" s="6">
        <v>-0.30000000000000071</v>
      </c>
    </row>
    <row r="34" spans="1:3">
      <c r="A34" s="6">
        <v>10</v>
      </c>
      <c r="B34" s="6">
        <v>11.600000000000001</v>
      </c>
      <c r="C34" s="6">
        <v>-0.20000000000000107</v>
      </c>
    </row>
    <row r="35" spans="1:3">
      <c r="A35" s="6">
        <v>11</v>
      </c>
      <c r="B35" s="6">
        <v>11.600000000000001</v>
      </c>
      <c r="C35" s="6">
        <v>-0.10000000000000142</v>
      </c>
    </row>
    <row r="36" spans="1:3">
      <c r="A36" s="6">
        <v>12</v>
      </c>
      <c r="B36" s="6">
        <v>11.600000000000001</v>
      </c>
      <c r="C36" s="6">
        <v>-0.10000000000000142</v>
      </c>
    </row>
    <row r="37" spans="1:3">
      <c r="A37" s="6">
        <v>13</v>
      </c>
      <c r="B37" s="6">
        <v>11.600000000000001</v>
      </c>
      <c r="C37" s="6">
        <v>-1.7763568394002505E-15</v>
      </c>
    </row>
    <row r="38" spans="1:3">
      <c r="A38" s="6">
        <v>14</v>
      </c>
      <c r="B38" s="6">
        <v>11.600000000000001</v>
      </c>
      <c r="C38" s="6">
        <v>0.29999999999999893</v>
      </c>
    </row>
    <row r="39" spans="1:3">
      <c r="A39" s="6">
        <v>15</v>
      </c>
      <c r="B39" s="6">
        <v>11.600000000000001</v>
      </c>
      <c r="C39" s="6">
        <v>0.99999999999999822</v>
      </c>
    </row>
    <row r="40" spans="1:3">
      <c r="A40" s="6">
        <v>16</v>
      </c>
      <c r="B40" s="6">
        <v>11.600000000000001</v>
      </c>
      <c r="C40" s="6">
        <v>1.5999999999999979</v>
      </c>
    </row>
    <row r="41" spans="1:3">
      <c r="A41" s="6">
        <v>17</v>
      </c>
      <c r="B41" s="6">
        <v>11.600000000000001</v>
      </c>
      <c r="C41" s="6">
        <v>1.5999999999999979</v>
      </c>
    </row>
    <row r="42" spans="1:3">
      <c r="A42" s="6">
        <v>18</v>
      </c>
      <c r="B42" s="6">
        <v>11.600000000000001</v>
      </c>
      <c r="C42" s="6">
        <v>1.7999999999999989</v>
      </c>
    </row>
    <row r="43" spans="1:3">
      <c r="A43" s="6">
        <v>19</v>
      </c>
      <c r="B43" s="6">
        <v>11.600000000000001</v>
      </c>
      <c r="C43" s="6">
        <v>2.4999999999999982</v>
      </c>
    </row>
    <row r="44" spans="1:3">
      <c r="A44" s="6">
        <v>20</v>
      </c>
      <c r="B44" s="6">
        <v>11.600000000000001</v>
      </c>
      <c r="C44" s="6">
        <v>4.2999999999999989</v>
      </c>
    </row>
    <row r="45" spans="1:3">
      <c r="A45" s="6">
        <v>21</v>
      </c>
      <c r="B45" s="6">
        <v>13.75</v>
      </c>
      <c r="C45" s="6">
        <v>-3.1500000000000004</v>
      </c>
    </row>
    <row r="46" spans="1:3">
      <c r="A46" s="6">
        <v>22</v>
      </c>
      <c r="B46" s="6">
        <v>13.75</v>
      </c>
      <c r="C46" s="6">
        <v>-2.75</v>
      </c>
    </row>
    <row r="47" spans="1:3">
      <c r="A47" s="6">
        <v>23</v>
      </c>
      <c r="B47" s="6">
        <v>13.75</v>
      </c>
      <c r="C47" s="6">
        <v>-2.75</v>
      </c>
    </row>
    <row r="48" spans="1:3">
      <c r="A48" s="6">
        <v>24</v>
      </c>
      <c r="B48" s="6">
        <v>13.75</v>
      </c>
      <c r="C48" s="6">
        <v>-2.6500000000000004</v>
      </c>
    </row>
    <row r="49" spans="1:3">
      <c r="A49" s="6">
        <v>25</v>
      </c>
      <c r="B49" s="6">
        <v>13.75</v>
      </c>
      <c r="C49" s="6">
        <v>-2.5500000000000007</v>
      </c>
    </row>
    <row r="50" spans="1:3">
      <c r="A50" s="6">
        <v>26</v>
      </c>
      <c r="B50" s="6">
        <v>13.75</v>
      </c>
      <c r="C50" s="6">
        <v>-2.0500000000000007</v>
      </c>
    </row>
    <row r="51" spans="1:3">
      <c r="A51" s="6">
        <v>27</v>
      </c>
      <c r="B51" s="6">
        <v>13.75</v>
      </c>
      <c r="C51" s="6">
        <v>-1.4499999999999993</v>
      </c>
    </row>
    <row r="52" spans="1:3">
      <c r="A52" s="6">
        <v>28</v>
      </c>
      <c r="B52" s="6">
        <v>13.75</v>
      </c>
      <c r="C52" s="6">
        <v>-1.1500000000000004</v>
      </c>
    </row>
    <row r="53" spans="1:3">
      <c r="A53" s="6">
        <v>29</v>
      </c>
      <c r="B53" s="6">
        <v>13.75</v>
      </c>
      <c r="C53" s="6">
        <v>-1.1500000000000004</v>
      </c>
    </row>
    <row r="54" spans="1:3">
      <c r="A54" s="6">
        <v>30</v>
      </c>
      <c r="B54" s="6">
        <v>13.75</v>
      </c>
      <c r="C54" s="6">
        <v>-0.65000000000000036</v>
      </c>
    </row>
    <row r="55" spans="1:3">
      <c r="A55" s="6">
        <v>31</v>
      </c>
      <c r="B55" s="6">
        <v>13.75</v>
      </c>
      <c r="C55" s="6">
        <v>-0.55000000000000071</v>
      </c>
    </row>
    <row r="56" spans="1:3">
      <c r="A56" s="6">
        <v>32</v>
      </c>
      <c r="B56" s="6">
        <v>13.75</v>
      </c>
      <c r="C56" s="6">
        <v>-0.34999999999999964</v>
      </c>
    </row>
    <row r="57" spans="1:3">
      <c r="A57" s="6">
        <v>33</v>
      </c>
      <c r="B57" s="6">
        <v>13.75</v>
      </c>
      <c r="C57" s="6">
        <v>-0.25</v>
      </c>
    </row>
    <row r="58" spans="1:3">
      <c r="A58" s="6">
        <v>34</v>
      </c>
      <c r="B58" s="6">
        <v>13.75</v>
      </c>
      <c r="C58" s="6">
        <v>5.0000000000000711E-2</v>
      </c>
    </row>
    <row r="59" spans="1:3">
      <c r="A59" s="6">
        <v>35</v>
      </c>
      <c r="B59" s="6">
        <v>13.75</v>
      </c>
      <c r="C59" s="6">
        <v>0.25</v>
      </c>
    </row>
    <row r="60" spans="1:3">
      <c r="A60" s="6">
        <v>36</v>
      </c>
      <c r="B60" s="6">
        <v>13.75</v>
      </c>
      <c r="C60" s="6">
        <v>0.25</v>
      </c>
    </row>
    <row r="61" spans="1:3">
      <c r="A61" s="6">
        <v>37</v>
      </c>
      <c r="B61" s="6">
        <v>13.75</v>
      </c>
      <c r="C61" s="6">
        <v>0.34999999999999964</v>
      </c>
    </row>
    <row r="62" spans="1:3">
      <c r="A62" s="6">
        <v>38</v>
      </c>
      <c r="B62" s="6">
        <v>13.75</v>
      </c>
      <c r="C62" s="6">
        <v>0.55000000000000071</v>
      </c>
    </row>
    <row r="63" spans="1:3">
      <c r="A63" s="6">
        <v>39</v>
      </c>
      <c r="B63" s="6">
        <v>13.75</v>
      </c>
      <c r="C63" s="6">
        <v>0.94999999999999929</v>
      </c>
    </row>
    <row r="64" spans="1:3">
      <c r="A64" s="6">
        <v>40</v>
      </c>
      <c r="B64" s="6">
        <v>13.75</v>
      </c>
      <c r="C64" s="6">
        <v>0.94999999999999929</v>
      </c>
    </row>
    <row r="65" spans="1:3">
      <c r="A65" s="6">
        <v>41</v>
      </c>
      <c r="B65" s="6">
        <v>13.75</v>
      </c>
      <c r="C65" s="6">
        <v>0.94999999999999929</v>
      </c>
    </row>
    <row r="66" spans="1:3">
      <c r="A66" s="6">
        <v>42</v>
      </c>
      <c r="B66" s="6">
        <v>13.75</v>
      </c>
      <c r="C66" s="6">
        <v>1.1500000000000004</v>
      </c>
    </row>
    <row r="67" spans="1:3">
      <c r="A67" s="6">
        <v>43</v>
      </c>
      <c r="B67" s="6">
        <v>13.75</v>
      </c>
      <c r="C67" s="6">
        <v>1.3499999999999996</v>
      </c>
    </row>
    <row r="68" spans="1:3">
      <c r="A68" s="6">
        <v>44</v>
      </c>
      <c r="B68" s="6">
        <v>13.75</v>
      </c>
      <c r="C68" s="6">
        <v>1.3499999999999996</v>
      </c>
    </row>
    <row r="69" spans="1:3">
      <c r="A69" s="6">
        <v>45</v>
      </c>
      <c r="B69" s="6">
        <v>13.75</v>
      </c>
      <c r="C69" s="6">
        <v>1.75</v>
      </c>
    </row>
    <row r="70" spans="1:3">
      <c r="A70" s="6">
        <v>46</v>
      </c>
      <c r="B70" s="6">
        <v>13.75</v>
      </c>
      <c r="C70" s="6">
        <v>1.75</v>
      </c>
    </row>
    <row r="71" spans="1:3">
      <c r="A71" s="6">
        <v>47</v>
      </c>
      <c r="B71" s="6">
        <v>13.75</v>
      </c>
      <c r="C71" s="6">
        <v>2.0500000000000007</v>
      </c>
    </row>
    <row r="72" spans="1:3">
      <c r="A72" s="6">
        <v>48</v>
      </c>
      <c r="B72" s="6">
        <v>13.75</v>
      </c>
      <c r="C72" s="6">
        <v>2.25</v>
      </c>
    </row>
    <row r="73" spans="1:3">
      <c r="A73" s="6">
        <v>49</v>
      </c>
      <c r="B73" s="6">
        <v>13.75</v>
      </c>
      <c r="C73" s="6">
        <v>2.75</v>
      </c>
    </row>
    <row r="74" spans="1:3" ht="15" thickBot="1">
      <c r="A74" s="7">
        <v>50</v>
      </c>
      <c r="B74" s="7">
        <v>13.75</v>
      </c>
      <c r="C74" s="7">
        <v>2.75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5"/>
  <sheetViews>
    <sheetView topLeftCell="A29" workbookViewId="0">
      <selection activeCell="J24" sqref="J24"/>
    </sheetView>
  </sheetViews>
  <sheetFormatPr defaultRowHeight="14.25"/>
  <cols>
    <col min="2" max="5" width="12.75" customWidth="1"/>
    <col min="6" max="6" width="15.125" customWidth="1"/>
    <col min="7" max="7" width="12.75" customWidth="1"/>
    <col min="8" max="8" width="17.75" customWidth="1"/>
    <col min="9" max="9" width="15.5" customWidth="1"/>
    <col min="10" max="10" width="12" bestFit="1" customWidth="1"/>
    <col min="11" max="11" width="17.125" customWidth="1"/>
    <col min="262" max="266" width="12.75" customWidth="1"/>
    <col min="267" max="267" width="12" bestFit="1" customWidth="1"/>
    <col min="518" max="522" width="12.75" customWidth="1"/>
    <col min="523" max="523" width="12" bestFit="1" customWidth="1"/>
    <col min="774" max="778" width="12.75" customWidth="1"/>
    <col min="779" max="779" width="12" bestFit="1" customWidth="1"/>
    <col min="1030" max="1034" width="12.75" customWidth="1"/>
    <col min="1035" max="1035" width="12" bestFit="1" customWidth="1"/>
    <col min="1286" max="1290" width="12.75" customWidth="1"/>
    <col min="1291" max="1291" width="12" bestFit="1" customWidth="1"/>
    <col min="1542" max="1546" width="12.75" customWidth="1"/>
    <col min="1547" max="1547" width="12" bestFit="1" customWidth="1"/>
    <col min="1798" max="1802" width="12.75" customWidth="1"/>
    <col min="1803" max="1803" width="12" bestFit="1" customWidth="1"/>
    <col min="2054" max="2058" width="12.75" customWidth="1"/>
    <col min="2059" max="2059" width="12" bestFit="1" customWidth="1"/>
    <col min="2310" max="2314" width="12.75" customWidth="1"/>
    <col min="2315" max="2315" width="12" bestFit="1" customWidth="1"/>
    <col min="2566" max="2570" width="12.75" customWidth="1"/>
    <col min="2571" max="2571" width="12" bestFit="1" customWidth="1"/>
    <col min="2822" max="2826" width="12.75" customWidth="1"/>
    <col min="2827" max="2827" width="12" bestFit="1" customWidth="1"/>
    <col min="3078" max="3082" width="12.75" customWidth="1"/>
    <col min="3083" max="3083" width="12" bestFit="1" customWidth="1"/>
    <col min="3334" max="3338" width="12.75" customWidth="1"/>
    <col min="3339" max="3339" width="12" bestFit="1" customWidth="1"/>
    <col min="3590" max="3594" width="12.75" customWidth="1"/>
    <col min="3595" max="3595" width="12" bestFit="1" customWidth="1"/>
    <col min="3846" max="3850" width="12.75" customWidth="1"/>
    <col min="3851" max="3851" width="12" bestFit="1" customWidth="1"/>
    <col min="4102" max="4106" width="12.75" customWidth="1"/>
    <col min="4107" max="4107" width="12" bestFit="1" customWidth="1"/>
    <col min="4358" max="4362" width="12.75" customWidth="1"/>
    <col min="4363" max="4363" width="12" bestFit="1" customWidth="1"/>
    <col min="4614" max="4618" width="12.75" customWidth="1"/>
    <col min="4619" max="4619" width="12" bestFit="1" customWidth="1"/>
    <col min="4870" max="4874" width="12.75" customWidth="1"/>
    <col min="4875" max="4875" width="12" bestFit="1" customWidth="1"/>
    <col min="5126" max="5130" width="12.75" customWidth="1"/>
    <col min="5131" max="5131" width="12" bestFit="1" customWidth="1"/>
    <col min="5382" max="5386" width="12.75" customWidth="1"/>
    <col min="5387" max="5387" width="12" bestFit="1" customWidth="1"/>
    <col min="5638" max="5642" width="12.75" customWidth="1"/>
    <col min="5643" max="5643" width="12" bestFit="1" customWidth="1"/>
    <col min="5894" max="5898" width="12.75" customWidth="1"/>
    <col min="5899" max="5899" width="12" bestFit="1" customWidth="1"/>
    <col min="6150" max="6154" width="12.75" customWidth="1"/>
    <col min="6155" max="6155" width="12" bestFit="1" customWidth="1"/>
    <col min="6406" max="6410" width="12.75" customWidth="1"/>
    <col min="6411" max="6411" width="12" bestFit="1" customWidth="1"/>
    <col min="6662" max="6666" width="12.75" customWidth="1"/>
    <col min="6667" max="6667" width="12" bestFit="1" customWidth="1"/>
    <col min="6918" max="6922" width="12.75" customWidth="1"/>
    <col min="6923" max="6923" width="12" bestFit="1" customWidth="1"/>
    <col min="7174" max="7178" width="12.75" customWidth="1"/>
    <col min="7179" max="7179" width="12" bestFit="1" customWidth="1"/>
    <col min="7430" max="7434" width="12.75" customWidth="1"/>
    <col min="7435" max="7435" width="12" bestFit="1" customWidth="1"/>
    <col min="7686" max="7690" width="12.75" customWidth="1"/>
    <col min="7691" max="7691" width="12" bestFit="1" customWidth="1"/>
    <col min="7942" max="7946" width="12.75" customWidth="1"/>
    <col min="7947" max="7947" width="12" bestFit="1" customWidth="1"/>
    <col min="8198" max="8202" width="12.75" customWidth="1"/>
    <col min="8203" max="8203" width="12" bestFit="1" customWidth="1"/>
    <col min="8454" max="8458" width="12.75" customWidth="1"/>
    <col min="8459" max="8459" width="12" bestFit="1" customWidth="1"/>
    <col min="8710" max="8714" width="12.75" customWidth="1"/>
    <col min="8715" max="8715" width="12" bestFit="1" customWidth="1"/>
    <col min="8966" max="8970" width="12.75" customWidth="1"/>
    <col min="8971" max="8971" width="12" bestFit="1" customWidth="1"/>
    <col min="9222" max="9226" width="12.75" customWidth="1"/>
    <col min="9227" max="9227" width="12" bestFit="1" customWidth="1"/>
    <col min="9478" max="9482" width="12.75" customWidth="1"/>
    <col min="9483" max="9483" width="12" bestFit="1" customWidth="1"/>
    <col min="9734" max="9738" width="12.75" customWidth="1"/>
    <col min="9739" max="9739" width="12" bestFit="1" customWidth="1"/>
    <col min="9990" max="9994" width="12.75" customWidth="1"/>
    <col min="9995" max="9995" width="12" bestFit="1" customWidth="1"/>
    <col min="10246" max="10250" width="12.75" customWidth="1"/>
    <col min="10251" max="10251" width="12" bestFit="1" customWidth="1"/>
    <col min="10502" max="10506" width="12.75" customWidth="1"/>
    <col min="10507" max="10507" width="12" bestFit="1" customWidth="1"/>
    <col min="10758" max="10762" width="12.75" customWidth="1"/>
    <col min="10763" max="10763" width="12" bestFit="1" customWidth="1"/>
    <col min="11014" max="11018" width="12.75" customWidth="1"/>
    <col min="11019" max="11019" width="12" bestFit="1" customWidth="1"/>
    <col min="11270" max="11274" width="12.75" customWidth="1"/>
    <col min="11275" max="11275" width="12" bestFit="1" customWidth="1"/>
    <col min="11526" max="11530" width="12.75" customWidth="1"/>
    <col min="11531" max="11531" width="12" bestFit="1" customWidth="1"/>
    <col min="11782" max="11786" width="12.75" customWidth="1"/>
    <col min="11787" max="11787" width="12" bestFit="1" customWidth="1"/>
    <col min="12038" max="12042" width="12.75" customWidth="1"/>
    <col min="12043" max="12043" width="12" bestFit="1" customWidth="1"/>
    <col min="12294" max="12298" width="12.75" customWidth="1"/>
    <col min="12299" max="12299" width="12" bestFit="1" customWidth="1"/>
    <col min="12550" max="12554" width="12.75" customWidth="1"/>
    <col min="12555" max="12555" width="12" bestFit="1" customWidth="1"/>
    <col min="12806" max="12810" width="12.75" customWidth="1"/>
    <col min="12811" max="12811" width="12" bestFit="1" customWidth="1"/>
    <col min="13062" max="13066" width="12.75" customWidth="1"/>
    <col min="13067" max="13067" width="12" bestFit="1" customWidth="1"/>
    <col min="13318" max="13322" width="12.75" customWidth="1"/>
    <col min="13323" max="13323" width="12" bestFit="1" customWidth="1"/>
    <col min="13574" max="13578" width="12.75" customWidth="1"/>
    <col min="13579" max="13579" width="12" bestFit="1" customWidth="1"/>
    <col min="13830" max="13834" width="12.75" customWidth="1"/>
    <col min="13835" max="13835" width="12" bestFit="1" customWidth="1"/>
    <col min="14086" max="14090" width="12.75" customWidth="1"/>
    <col min="14091" max="14091" width="12" bestFit="1" customWidth="1"/>
    <col min="14342" max="14346" width="12.75" customWidth="1"/>
    <col min="14347" max="14347" width="12" bestFit="1" customWidth="1"/>
    <col min="14598" max="14602" width="12.75" customWidth="1"/>
    <col min="14603" max="14603" width="12" bestFit="1" customWidth="1"/>
    <col min="14854" max="14858" width="12.75" customWidth="1"/>
    <col min="14859" max="14859" width="12" bestFit="1" customWidth="1"/>
    <col min="15110" max="15114" width="12.75" customWidth="1"/>
    <col min="15115" max="15115" width="12" bestFit="1" customWidth="1"/>
    <col min="15366" max="15370" width="12.75" customWidth="1"/>
    <col min="15371" max="15371" width="12" bestFit="1" customWidth="1"/>
    <col min="15622" max="15626" width="12.75" customWidth="1"/>
    <col min="15627" max="15627" width="12" bestFit="1" customWidth="1"/>
    <col min="15878" max="15882" width="12.75" customWidth="1"/>
    <col min="15883" max="15883" width="12" bestFit="1" customWidth="1"/>
    <col min="16134" max="16138" width="12.75" customWidth="1"/>
    <col min="16139" max="16139" width="12" bestFit="1" customWidth="1"/>
  </cols>
  <sheetData>
    <row r="1" spans="1:13" ht="18">
      <c r="A1" s="1" t="s">
        <v>0</v>
      </c>
      <c r="C1" s="1"/>
      <c r="D1" s="1"/>
      <c r="E1" s="1"/>
      <c r="F1" s="1"/>
      <c r="G1" s="1"/>
      <c r="H1" s="1"/>
      <c r="I1" s="1"/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F3" s="2" t="s">
        <v>52</v>
      </c>
      <c r="G3" s="2" t="s">
        <v>49</v>
      </c>
      <c r="H3" s="2" t="s">
        <v>39</v>
      </c>
      <c r="I3" s="2" t="s">
        <v>40</v>
      </c>
      <c r="J3" s="2"/>
      <c r="K3" s="2"/>
      <c r="L3" s="2"/>
    </row>
    <row r="4" spans="1:13">
      <c r="A4" s="2">
        <v>1</v>
      </c>
      <c r="B4" s="2" t="s">
        <v>5</v>
      </c>
      <c r="C4" s="2">
        <v>1</v>
      </c>
      <c r="D4" s="3">
        <v>8.9</v>
      </c>
      <c r="E4" s="2">
        <v>1</v>
      </c>
      <c r="F4" s="12">
        <f>IF(B4="F",1,0)</f>
        <v>1</v>
      </c>
      <c r="G4" s="12">
        <f>IF(B4="F",0,1)</f>
        <v>0</v>
      </c>
      <c r="H4" s="3">
        <v>8.9</v>
      </c>
      <c r="I4" s="3">
        <v>10.6</v>
      </c>
      <c r="K4" s="2"/>
      <c r="L4" s="2"/>
    </row>
    <row r="5" spans="1:13">
      <c r="A5" s="2">
        <v>2</v>
      </c>
      <c r="B5" s="2" t="s">
        <v>5</v>
      </c>
      <c r="C5" s="2">
        <v>5</v>
      </c>
      <c r="D5" s="3">
        <v>9.5</v>
      </c>
      <c r="E5" s="2">
        <v>5</v>
      </c>
      <c r="F5" s="12">
        <f t="shared" ref="F5:F53" si="0">IF(B5="F",1,0)</f>
        <v>1</v>
      </c>
      <c r="G5" s="12">
        <f t="shared" ref="G5:G53" si="1">IF(B5="F",0,1)</f>
        <v>0</v>
      </c>
      <c r="H5" s="3">
        <v>9.5</v>
      </c>
      <c r="I5" s="3">
        <v>11</v>
      </c>
      <c r="K5" s="2"/>
      <c r="L5" s="2"/>
    </row>
    <row r="6" spans="1:13">
      <c r="A6" s="2">
        <v>3</v>
      </c>
      <c r="B6" s="2" t="s">
        <v>5</v>
      </c>
      <c r="C6" s="2">
        <v>6</v>
      </c>
      <c r="D6" s="3">
        <v>10</v>
      </c>
      <c r="E6" s="2">
        <v>6</v>
      </c>
      <c r="F6" s="12">
        <f t="shared" si="0"/>
        <v>1</v>
      </c>
      <c r="G6" s="12">
        <f t="shared" si="1"/>
        <v>0</v>
      </c>
      <c r="H6" s="3">
        <v>10</v>
      </c>
      <c r="I6" s="3">
        <v>11</v>
      </c>
      <c r="K6" s="2" t="s">
        <v>36</v>
      </c>
      <c r="L6" s="2"/>
    </row>
    <row r="7" spans="1:13">
      <c r="A7" s="2">
        <v>4</v>
      </c>
      <c r="B7" s="2" t="s">
        <v>5</v>
      </c>
      <c r="C7" s="2">
        <v>0</v>
      </c>
      <c r="D7" s="3">
        <v>10.199999999999999</v>
      </c>
      <c r="E7" s="2">
        <v>0</v>
      </c>
      <c r="F7" s="12">
        <f t="shared" si="0"/>
        <v>1</v>
      </c>
      <c r="G7" s="12">
        <f t="shared" si="1"/>
        <v>0</v>
      </c>
      <c r="H7" s="3">
        <v>10.199999999999999</v>
      </c>
      <c r="I7" s="3">
        <v>11.1</v>
      </c>
      <c r="K7" s="3">
        <f>AVERAGE(D4:D23)</f>
        <v>11.599999999999998</v>
      </c>
      <c r="L7" s="2"/>
    </row>
    <row r="8" spans="1:13">
      <c r="A8" s="2">
        <v>5</v>
      </c>
      <c r="B8" s="2" t="s">
        <v>5</v>
      </c>
      <c r="C8" s="2">
        <v>6</v>
      </c>
      <c r="D8" s="3">
        <v>10.199999999999999</v>
      </c>
      <c r="E8" s="2">
        <v>6</v>
      </c>
      <c r="F8" s="12">
        <f t="shared" si="0"/>
        <v>1</v>
      </c>
      <c r="G8" s="12">
        <f t="shared" si="1"/>
        <v>0</v>
      </c>
      <c r="H8" s="3">
        <v>10.199999999999999</v>
      </c>
      <c r="I8" s="3">
        <v>11.2</v>
      </c>
      <c r="K8" s="2"/>
      <c r="L8" s="2"/>
      <c r="M8" t="s">
        <v>38</v>
      </c>
    </row>
    <row r="9" spans="1:13">
      <c r="A9" s="2">
        <v>6</v>
      </c>
      <c r="B9" s="2" t="s">
        <v>5</v>
      </c>
      <c r="C9" s="2">
        <v>4</v>
      </c>
      <c r="D9" s="3">
        <v>10.3</v>
      </c>
      <c r="E9" s="2">
        <v>4</v>
      </c>
      <c r="F9" s="12">
        <f t="shared" si="0"/>
        <v>1</v>
      </c>
      <c r="G9" s="12">
        <f t="shared" si="1"/>
        <v>0</v>
      </c>
      <c r="H9" s="3">
        <v>10.3</v>
      </c>
      <c r="I9" s="3">
        <v>11.7</v>
      </c>
      <c r="K9" s="2" t="s">
        <v>37</v>
      </c>
      <c r="L9" s="2"/>
    </row>
    <row r="10" spans="1:13">
      <c r="A10" s="2">
        <v>7</v>
      </c>
      <c r="B10" s="2" t="s">
        <v>5</v>
      </c>
      <c r="C10" s="2">
        <v>6</v>
      </c>
      <c r="D10" s="3">
        <v>10.5</v>
      </c>
      <c r="E10" s="2">
        <v>6</v>
      </c>
      <c r="F10" s="12">
        <f t="shared" si="0"/>
        <v>1</v>
      </c>
      <c r="G10" s="12">
        <f t="shared" si="1"/>
        <v>0</v>
      </c>
      <c r="H10" s="3">
        <v>10.5</v>
      </c>
      <c r="I10" s="3">
        <v>12.3</v>
      </c>
      <c r="K10" s="3">
        <f>AVERAGE(D24:D53)</f>
        <v>13.75</v>
      </c>
      <c r="L10" s="2"/>
    </row>
    <row r="11" spans="1:13">
      <c r="A11" s="2">
        <v>9</v>
      </c>
      <c r="B11" s="2" t="s">
        <v>5</v>
      </c>
      <c r="C11" s="2">
        <v>3</v>
      </c>
      <c r="D11" s="3">
        <v>10.8</v>
      </c>
      <c r="E11" s="2">
        <v>3</v>
      </c>
      <c r="F11" s="12">
        <f t="shared" si="0"/>
        <v>1</v>
      </c>
      <c r="G11" s="12">
        <f t="shared" si="1"/>
        <v>0</v>
      </c>
      <c r="H11" s="3">
        <v>10.8</v>
      </c>
      <c r="I11" s="3">
        <v>12.6</v>
      </c>
      <c r="K11" s="2"/>
      <c r="L11" s="2"/>
    </row>
    <row r="12" spans="1:13">
      <c r="A12" s="2">
        <v>14</v>
      </c>
      <c r="B12" s="2" t="s">
        <v>5</v>
      </c>
      <c r="C12" s="2">
        <v>2</v>
      </c>
      <c r="D12" s="3">
        <v>11.3</v>
      </c>
      <c r="E12" s="2">
        <v>2</v>
      </c>
      <c r="F12" s="12">
        <f t="shared" si="0"/>
        <v>1</v>
      </c>
      <c r="G12" s="12">
        <f t="shared" si="1"/>
        <v>0</v>
      </c>
      <c r="H12" s="3">
        <v>11.3</v>
      </c>
      <c r="I12" s="3">
        <v>12.6</v>
      </c>
      <c r="K12" s="2"/>
      <c r="L12" s="2"/>
    </row>
    <row r="13" spans="1:13">
      <c r="A13" s="2">
        <v>15</v>
      </c>
      <c r="B13" s="2" t="s">
        <v>5</v>
      </c>
      <c r="C13" s="2">
        <v>9</v>
      </c>
      <c r="D13" s="3">
        <v>11.4</v>
      </c>
      <c r="E13" s="2">
        <v>9</v>
      </c>
      <c r="F13" s="12">
        <f t="shared" si="0"/>
        <v>1</v>
      </c>
      <c r="G13" s="12">
        <f t="shared" si="1"/>
        <v>0</v>
      </c>
      <c r="H13" s="3">
        <v>11.4</v>
      </c>
      <c r="I13" s="3">
        <v>13.1</v>
      </c>
      <c r="K13" s="2"/>
      <c r="L13" s="2"/>
    </row>
    <row r="14" spans="1:13" ht="34.5">
      <c r="A14" s="2">
        <v>16</v>
      </c>
      <c r="B14" s="2" t="s">
        <v>5</v>
      </c>
      <c r="C14" s="2">
        <v>4</v>
      </c>
      <c r="D14" s="3">
        <v>11.5</v>
      </c>
      <c r="E14" s="2">
        <v>4</v>
      </c>
      <c r="F14" s="12">
        <f t="shared" si="0"/>
        <v>1</v>
      </c>
      <c r="G14" s="12">
        <f t="shared" si="1"/>
        <v>0</v>
      </c>
      <c r="H14" s="3">
        <v>11.5</v>
      </c>
      <c r="I14" s="3">
        <v>13.2</v>
      </c>
      <c r="K14" s="2"/>
      <c r="L14" s="2"/>
      <c r="M14" s="5" t="s">
        <v>7</v>
      </c>
    </row>
    <row r="15" spans="1:13">
      <c r="A15" s="2">
        <v>17</v>
      </c>
      <c r="B15" s="2" t="s">
        <v>5</v>
      </c>
      <c r="C15" s="2">
        <v>7</v>
      </c>
      <c r="D15" s="3">
        <v>11.5</v>
      </c>
      <c r="E15" s="2">
        <v>7</v>
      </c>
      <c r="F15" s="12">
        <f t="shared" si="0"/>
        <v>1</v>
      </c>
      <c r="G15" s="12">
        <f t="shared" si="1"/>
        <v>0</v>
      </c>
      <c r="H15" s="3">
        <v>11.5</v>
      </c>
      <c r="I15" s="3">
        <v>13.4</v>
      </c>
      <c r="K15" s="2"/>
      <c r="L15" s="2"/>
    </row>
    <row r="16" spans="1:13">
      <c r="A16" s="2">
        <v>18</v>
      </c>
      <c r="B16" s="2" t="s">
        <v>5</v>
      </c>
      <c r="C16" s="2">
        <v>5</v>
      </c>
      <c r="D16" s="3">
        <v>11.6</v>
      </c>
      <c r="E16" s="2">
        <v>5</v>
      </c>
      <c r="F16" s="12">
        <f t="shared" si="0"/>
        <v>1</v>
      </c>
      <c r="G16" s="12">
        <f t="shared" si="1"/>
        <v>0</v>
      </c>
      <c r="H16" s="3">
        <v>11.6</v>
      </c>
      <c r="I16" s="3">
        <v>13.5</v>
      </c>
      <c r="K16" s="2"/>
      <c r="L16" s="2"/>
    </row>
    <row r="17" spans="1:12">
      <c r="A17" s="2">
        <v>20</v>
      </c>
      <c r="B17" s="2" t="s">
        <v>5</v>
      </c>
      <c r="C17" s="2">
        <v>5</v>
      </c>
      <c r="D17" s="3">
        <v>11.9</v>
      </c>
      <c r="E17" s="2">
        <v>5</v>
      </c>
      <c r="F17" s="12">
        <f t="shared" si="0"/>
        <v>1</v>
      </c>
      <c r="G17" s="12">
        <f t="shared" si="1"/>
        <v>0</v>
      </c>
      <c r="H17" s="3">
        <v>11.9</v>
      </c>
      <c r="I17" s="3">
        <v>13.8</v>
      </c>
      <c r="K17" s="2" t="s">
        <v>50</v>
      </c>
      <c r="L17" s="2"/>
    </row>
    <row r="18" spans="1:12">
      <c r="A18" s="2">
        <v>24</v>
      </c>
      <c r="B18" s="2" t="s">
        <v>5</v>
      </c>
      <c r="C18" s="2">
        <v>9</v>
      </c>
      <c r="D18" s="3">
        <v>12.6</v>
      </c>
      <c r="E18" s="2">
        <v>9</v>
      </c>
      <c r="F18" s="12">
        <f t="shared" si="0"/>
        <v>1</v>
      </c>
      <c r="G18" s="12">
        <f t="shared" si="1"/>
        <v>0</v>
      </c>
      <c r="H18" s="3">
        <v>12.6</v>
      </c>
      <c r="I18" s="3">
        <v>14</v>
      </c>
      <c r="K18" s="2">
        <f>AVERAGE(C24:C53)</f>
        <v>9.9</v>
      </c>
      <c r="L18" s="2"/>
    </row>
    <row r="19" spans="1:12">
      <c r="A19" s="2">
        <v>26</v>
      </c>
      <c r="B19" s="2" t="s">
        <v>5</v>
      </c>
      <c r="C19" s="2">
        <v>7</v>
      </c>
      <c r="D19" s="3">
        <v>13.2</v>
      </c>
      <c r="E19" s="2">
        <v>7</v>
      </c>
      <c r="F19" s="12">
        <f t="shared" si="0"/>
        <v>1</v>
      </c>
      <c r="G19" s="12">
        <f t="shared" si="1"/>
        <v>0</v>
      </c>
      <c r="H19" s="3">
        <v>13.2</v>
      </c>
      <c r="I19" s="3">
        <v>14</v>
      </c>
      <c r="K19" s="2" t="s">
        <v>51</v>
      </c>
      <c r="L19" s="2"/>
    </row>
    <row r="20" spans="1:12">
      <c r="A20" s="2">
        <v>27</v>
      </c>
      <c r="B20" s="2" t="s">
        <v>5</v>
      </c>
      <c r="C20" s="2">
        <v>10</v>
      </c>
      <c r="D20" s="3">
        <v>13.2</v>
      </c>
      <c r="E20" s="2">
        <v>10</v>
      </c>
      <c r="F20" s="12">
        <f t="shared" si="0"/>
        <v>1</v>
      </c>
      <c r="G20" s="12">
        <f t="shared" si="1"/>
        <v>0</v>
      </c>
      <c r="H20" s="3">
        <v>13.2</v>
      </c>
      <c r="I20" s="3">
        <v>14.1</v>
      </c>
      <c r="K20" s="2">
        <f>AVERAGE(C4:C23)</f>
        <v>6.65</v>
      </c>
      <c r="L20" s="2"/>
    </row>
    <row r="21" spans="1:12">
      <c r="A21" s="2">
        <v>30</v>
      </c>
      <c r="B21" s="2" t="s">
        <v>5</v>
      </c>
      <c r="C21" s="2">
        <v>13</v>
      </c>
      <c r="D21" s="3">
        <v>13.4</v>
      </c>
      <c r="E21" s="2">
        <v>13</v>
      </c>
      <c r="F21" s="12">
        <f t="shared" si="0"/>
        <v>1</v>
      </c>
      <c r="G21" s="12">
        <f t="shared" si="1"/>
        <v>0</v>
      </c>
      <c r="H21" s="3">
        <v>13.4</v>
      </c>
      <c r="I21" s="3">
        <v>14.3</v>
      </c>
      <c r="K21" s="2"/>
      <c r="L21" s="2"/>
    </row>
    <row r="22" spans="1:12">
      <c r="A22" s="2">
        <v>36</v>
      </c>
      <c r="B22" s="2" t="s">
        <v>5</v>
      </c>
      <c r="C22" s="2">
        <v>15</v>
      </c>
      <c r="D22" s="3">
        <v>14.1</v>
      </c>
      <c r="E22" s="2">
        <v>15</v>
      </c>
      <c r="F22" s="12">
        <f t="shared" si="0"/>
        <v>1</v>
      </c>
      <c r="G22" s="12">
        <f t="shared" si="1"/>
        <v>0</v>
      </c>
      <c r="H22" s="3">
        <v>14.1</v>
      </c>
      <c r="I22" s="3">
        <v>14.7</v>
      </c>
      <c r="K22" s="2"/>
      <c r="L22" s="2"/>
    </row>
    <row r="23" spans="1:12">
      <c r="A23" s="2">
        <v>47</v>
      </c>
      <c r="B23" s="2" t="s">
        <v>5</v>
      </c>
      <c r="C23" s="2">
        <v>16</v>
      </c>
      <c r="D23" s="3">
        <v>15.9</v>
      </c>
      <c r="E23" s="2">
        <v>16</v>
      </c>
      <c r="F23" s="12">
        <f t="shared" si="0"/>
        <v>1</v>
      </c>
      <c r="G23" s="12">
        <f t="shared" si="1"/>
        <v>0</v>
      </c>
      <c r="H23" s="3">
        <v>15.9</v>
      </c>
      <c r="I23" s="3">
        <v>14.7</v>
      </c>
      <c r="K23" s="2"/>
      <c r="L23" s="2"/>
    </row>
    <row r="24" spans="1:12">
      <c r="A24" s="2">
        <v>8</v>
      </c>
      <c r="B24" s="2" t="s">
        <v>6</v>
      </c>
      <c r="C24" s="2">
        <v>5</v>
      </c>
      <c r="D24" s="3">
        <v>10.6</v>
      </c>
      <c r="E24" s="2">
        <v>5</v>
      </c>
      <c r="F24" s="12">
        <f t="shared" si="0"/>
        <v>0</v>
      </c>
      <c r="G24" s="12">
        <f t="shared" si="1"/>
        <v>1</v>
      </c>
      <c r="H24" s="3"/>
      <c r="I24" s="3">
        <v>14.7</v>
      </c>
      <c r="K24" s="2"/>
      <c r="L24" s="2"/>
    </row>
    <row r="25" spans="1:12">
      <c r="A25" s="2">
        <v>10</v>
      </c>
      <c r="B25" s="2" t="s">
        <v>6</v>
      </c>
      <c r="C25" s="2">
        <v>1</v>
      </c>
      <c r="D25" s="3">
        <v>11</v>
      </c>
      <c r="E25" s="2">
        <v>1</v>
      </c>
      <c r="F25" s="12">
        <f t="shared" si="0"/>
        <v>0</v>
      </c>
      <c r="G25" s="12">
        <f t="shared" si="1"/>
        <v>1</v>
      </c>
      <c r="H25" s="3"/>
      <c r="I25" s="3">
        <v>14.9</v>
      </c>
      <c r="K25" s="2"/>
      <c r="L25" s="2"/>
    </row>
    <row r="26" spans="1:12">
      <c r="A26" s="2">
        <v>11</v>
      </c>
      <c r="B26" s="2" t="s">
        <v>6</v>
      </c>
      <c r="C26" s="2">
        <v>7</v>
      </c>
      <c r="D26" s="3">
        <v>11</v>
      </c>
      <c r="E26" s="2">
        <v>7</v>
      </c>
      <c r="F26" s="12">
        <f t="shared" si="0"/>
        <v>0</v>
      </c>
      <c r="G26" s="12">
        <f t="shared" si="1"/>
        <v>1</v>
      </c>
      <c r="H26" s="3"/>
      <c r="I26" s="3">
        <v>15.1</v>
      </c>
      <c r="K26" s="2"/>
      <c r="L26" s="2"/>
    </row>
    <row r="27" spans="1:12">
      <c r="A27" s="2">
        <v>12</v>
      </c>
      <c r="B27" s="2" t="s">
        <v>6</v>
      </c>
      <c r="C27" s="2">
        <v>4</v>
      </c>
      <c r="D27" s="3">
        <v>11.1</v>
      </c>
      <c r="E27" s="2">
        <v>4</v>
      </c>
      <c r="F27" s="12">
        <f t="shared" si="0"/>
        <v>0</v>
      </c>
      <c r="G27" s="12">
        <f t="shared" si="1"/>
        <v>1</v>
      </c>
      <c r="H27" s="3"/>
      <c r="I27" s="3">
        <v>15.1</v>
      </c>
      <c r="K27" s="2"/>
      <c r="L27" s="2"/>
    </row>
    <row r="28" spans="1:12">
      <c r="A28" s="2">
        <v>13</v>
      </c>
      <c r="B28" s="2" t="s">
        <v>6</v>
      </c>
      <c r="C28" s="2">
        <v>3</v>
      </c>
      <c r="D28" s="3">
        <v>11.2</v>
      </c>
      <c r="E28" s="2">
        <v>3</v>
      </c>
      <c r="F28" s="12">
        <f t="shared" si="0"/>
        <v>0</v>
      </c>
      <c r="G28" s="12">
        <f t="shared" si="1"/>
        <v>1</v>
      </c>
      <c r="H28" s="3"/>
      <c r="I28" s="3">
        <v>15.5</v>
      </c>
      <c r="K28" s="2"/>
      <c r="L28" s="2"/>
    </row>
    <row r="29" spans="1:12">
      <c r="A29" s="2">
        <v>19</v>
      </c>
      <c r="B29" s="2" t="s">
        <v>6</v>
      </c>
      <c r="C29" s="2">
        <v>6</v>
      </c>
      <c r="D29" s="3">
        <v>11.7</v>
      </c>
      <c r="E29" s="2">
        <v>6</v>
      </c>
      <c r="F29" s="12">
        <f t="shared" si="0"/>
        <v>0</v>
      </c>
      <c r="G29" s="12">
        <f t="shared" si="1"/>
        <v>1</v>
      </c>
      <c r="H29" s="3"/>
      <c r="I29" s="3">
        <v>15.5</v>
      </c>
      <c r="K29" s="2"/>
      <c r="L29" s="2"/>
    </row>
    <row r="30" spans="1:12">
      <c r="A30" s="2">
        <v>21</v>
      </c>
      <c r="B30" s="2" t="s">
        <v>6</v>
      </c>
      <c r="C30" s="2">
        <v>11</v>
      </c>
      <c r="D30" s="3">
        <v>12.3</v>
      </c>
      <c r="E30" s="2">
        <v>11</v>
      </c>
      <c r="F30" s="12">
        <f t="shared" si="0"/>
        <v>0</v>
      </c>
      <c r="G30" s="12">
        <f t="shared" si="1"/>
        <v>1</v>
      </c>
      <c r="H30" s="3"/>
      <c r="I30" s="3">
        <v>15.8</v>
      </c>
      <c r="K30" s="2"/>
      <c r="L30" s="2"/>
    </row>
    <row r="31" spans="1:12">
      <c r="A31" s="2">
        <v>22</v>
      </c>
      <c r="B31" s="2" t="s">
        <v>6</v>
      </c>
      <c r="C31" s="2">
        <v>3</v>
      </c>
      <c r="D31" s="3">
        <v>12.6</v>
      </c>
      <c r="E31" s="2">
        <v>3</v>
      </c>
      <c r="F31" s="12">
        <f t="shared" si="0"/>
        <v>0</v>
      </c>
      <c r="G31" s="12">
        <f t="shared" si="1"/>
        <v>1</v>
      </c>
      <c r="H31" s="3"/>
      <c r="I31" s="3">
        <v>16</v>
      </c>
      <c r="K31" s="2"/>
      <c r="L31" s="2"/>
    </row>
    <row r="32" spans="1:12">
      <c r="A32" s="2">
        <v>23</v>
      </c>
      <c r="B32" s="2" t="s">
        <v>6</v>
      </c>
      <c r="C32" s="2">
        <v>7</v>
      </c>
      <c r="D32" s="3">
        <v>12.6</v>
      </c>
      <c r="E32" s="2">
        <v>7</v>
      </c>
      <c r="F32" s="12">
        <f t="shared" si="0"/>
        <v>0</v>
      </c>
      <c r="G32" s="12">
        <f t="shared" si="1"/>
        <v>1</v>
      </c>
      <c r="H32" s="3"/>
      <c r="I32" s="3">
        <v>16.5</v>
      </c>
      <c r="K32" s="2"/>
      <c r="L32" s="2"/>
    </row>
    <row r="33" spans="1:12">
      <c r="A33" s="2">
        <v>25</v>
      </c>
      <c r="B33" s="2" t="s">
        <v>6</v>
      </c>
      <c r="C33" s="2">
        <v>9</v>
      </c>
      <c r="D33" s="3">
        <v>13.1</v>
      </c>
      <c r="E33" s="2">
        <v>9</v>
      </c>
      <c r="F33" s="12">
        <f t="shared" si="0"/>
        <v>0</v>
      </c>
      <c r="G33" s="12">
        <f t="shared" si="1"/>
        <v>1</v>
      </c>
      <c r="H33" s="3"/>
      <c r="I33" s="3">
        <v>16.5</v>
      </c>
      <c r="K33" s="2"/>
      <c r="L33" s="2"/>
    </row>
    <row r="34" spans="1:12">
      <c r="A34" s="2">
        <v>28</v>
      </c>
      <c r="B34" s="2" t="s">
        <v>6</v>
      </c>
      <c r="C34" s="2">
        <v>15</v>
      </c>
      <c r="D34" s="3">
        <v>13.2</v>
      </c>
      <c r="E34" s="2">
        <v>15</v>
      </c>
      <c r="F34" s="12">
        <f t="shared" si="0"/>
        <v>0</v>
      </c>
      <c r="G34" s="12">
        <f t="shared" si="1"/>
        <v>1</v>
      </c>
      <c r="H34" s="3"/>
      <c r="I34" s="3"/>
      <c r="K34" s="2"/>
      <c r="L34" s="2"/>
    </row>
    <row r="35" spans="1:12">
      <c r="A35" s="2">
        <v>29</v>
      </c>
      <c r="B35" s="2" t="s">
        <v>6</v>
      </c>
      <c r="C35" s="2">
        <v>8</v>
      </c>
      <c r="D35" s="3">
        <v>13.4</v>
      </c>
      <c r="E35" s="2">
        <v>8</v>
      </c>
      <c r="F35" s="12">
        <f t="shared" si="0"/>
        <v>0</v>
      </c>
      <c r="G35" s="12">
        <f t="shared" si="1"/>
        <v>1</v>
      </c>
      <c r="H35" s="3"/>
      <c r="I35" s="3"/>
      <c r="K35" s="2"/>
      <c r="L35" s="2"/>
    </row>
    <row r="36" spans="1:12">
      <c r="A36" s="2">
        <v>31</v>
      </c>
      <c r="B36" s="2" t="s">
        <v>6</v>
      </c>
      <c r="C36" s="2">
        <v>12</v>
      </c>
      <c r="D36" s="3">
        <v>13.5</v>
      </c>
      <c r="E36" s="2">
        <v>12</v>
      </c>
      <c r="F36" s="12">
        <f t="shared" si="0"/>
        <v>0</v>
      </c>
      <c r="G36" s="12">
        <f t="shared" si="1"/>
        <v>1</v>
      </c>
      <c r="H36" s="3"/>
      <c r="I36" s="3"/>
      <c r="K36" s="2"/>
      <c r="L36" s="2"/>
    </row>
    <row r="37" spans="1:12">
      <c r="A37" s="2">
        <v>32</v>
      </c>
      <c r="B37" s="2" t="s">
        <v>6</v>
      </c>
      <c r="C37" s="2">
        <v>17</v>
      </c>
      <c r="D37" s="3">
        <v>13.8</v>
      </c>
      <c r="E37" s="2">
        <v>17</v>
      </c>
      <c r="F37" s="12">
        <f t="shared" si="0"/>
        <v>0</v>
      </c>
      <c r="G37" s="12">
        <f t="shared" si="1"/>
        <v>1</v>
      </c>
      <c r="H37" s="3"/>
      <c r="I37" s="3"/>
      <c r="K37" s="2"/>
      <c r="L37" s="2"/>
    </row>
    <row r="38" spans="1:12">
      <c r="A38" s="2">
        <v>33</v>
      </c>
      <c r="B38" s="2" t="s">
        <v>6</v>
      </c>
      <c r="C38" s="2">
        <v>5</v>
      </c>
      <c r="D38" s="3">
        <v>14</v>
      </c>
      <c r="E38" s="2">
        <v>5</v>
      </c>
      <c r="F38" s="12">
        <f t="shared" si="0"/>
        <v>0</v>
      </c>
      <c r="G38" s="12">
        <f t="shared" si="1"/>
        <v>1</v>
      </c>
      <c r="H38" s="3"/>
      <c r="I38" s="3"/>
      <c r="K38" s="2"/>
      <c r="L38" s="2"/>
    </row>
    <row r="39" spans="1:12">
      <c r="A39" s="2">
        <v>34</v>
      </c>
      <c r="B39" s="2" t="s">
        <v>6</v>
      </c>
      <c r="C39" s="2">
        <v>7</v>
      </c>
      <c r="D39" s="3">
        <v>14</v>
      </c>
      <c r="E39" s="2">
        <v>7</v>
      </c>
      <c r="F39" s="12">
        <f t="shared" si="0"/>
        <v>0</v>
      </c>
      <c r="G39" s="12">
        <f t="shared" si="1"/>
        <v>1</v>
      </c>
      <c r="H39" s="3"/>
      <c r="I39" s="3"/>
      <c r="K39" s="2"/>
      <c r="L39" s="2"/>
    </row>
    <row r="40" spans="1:12">
      <c r="A40" s="2">
        <v>35</v>
      </c>
      <c r="B40" s="2" t="s">
        <v>6</v>
      </c>
      <c r="C40" s="2">
        <v>11</v>
      </c>
      <c r="D40" s="3">
        <v>14.1</v>
      </c>
      <c r="E40" s="2">
        <v>11</v>
      </c>
      <c r="F40" s="12">
        <f t="shared" si="0"/>
        <v>0</v>
      </c>
      <c r="G40" s="12">
        <f t="shared" si="1"/>
        <v>1</v>
      </c>
      <c r="H40" s="3"/>
      <c r="I40" s="3"/>
      <c r="K40" s="2"/>
      <c r="L40" s="2"/>
    </row>
    <row r="41" spans="1:12">
      <c r="A41" s="2">
        <v>37</v>
      </c>
      <c r="B41" s="2" t="s">
        <v>6</v>
      </c>
      <c r="C41" s="2">
        <v>12</v>
      </c>
      <c r="D41" s="3">
        <v>14.3</v>
      </c>
      <c r="E41" s="2">
        <v>12</v>
      </c>
      <c r="F41" s="12">
        <f t="shared" si="0"/>
        <v>0</v>
      </c>
      <c r="G41" s="12">
        <f t="shared" si="1"/>
        <v>1</v>
      </c>
      <c r="H41" s="3"/>
      <c r="I41" s="3"/>
      <c r="K41" s="2"/>
      <c r="L41" s="2"/>
    </row>
    <row r="42" spans="1:12">
      <c r="A42" s="2">
        <v>38</v>
      </c>
      <c r="B42" s="2" t="s">
        <v>6</v>
      </c>
      <c r="C42" s="2">
        <v>8</v>
      </c>
      <c r="D42" s="3">
        <v>14.7</v>
      </c>
      <c r="E42" s="2">
        <v>8</v>
      </c>
      <c r="F42" s="12">
        <f t="shared" si="0"/>
        <v>0</v>
      </c>
      <c r="G42" s="12">
        <f t="shared" si="1"/>
        <v>1</v>
      </c>
      <c r="H42" s="3"/>
      <c r="I42" s="3"/>
      <c r="K42" s="2"/>
      <c r="L42" s="2"/>
    </row>
    <row r="43" spans="1:12">
      <c r="A43" s="2">
        <v>39</v>
      </c>
      <c r="B43" s="2" t="s">
        <v>6</v>
      </c>
      <c r="C43" s="2">
        <v>12</v>
      </c>
      <c r="D43" s="3">
        <v>14.7</v>
      </c>
      <c r="E43" s="2">
        <v>12</v>
      </c>
      <c r="F43" s="12">
        <f t="shared" si="0"/>
        <v>0</v>
      </c>
      <c r="G43" s="12">
        <f t="shared" si="1"/>
        <v>1</v>
      </c>
      <c r="H43" s="3"/>
      <c r="I43" s="3"/>
      <c r="K43" s="2"/>
      <c r="L43" s="2"/>
    </row>
    <row r="44" spans="1:12">
      <c r="A44" s="2">
        <v>40</v>
      </c>
      <c r="B44" s="2" t="s">
        <v>6</v>
      </c>
      <c r="C44" s="2">
        <v>13</v>
      </c>
      <c r="D44" s="3">
        <v>14.7</v>
      </c>
      <c r="E44" s="2">
        <v>13</v>
      </c>
      <c r="F44" s="12">
        <f t="shared" si="0"/>
        <v>0</v>
      </c>
      <c r="G44" s="12">
        <f t="shared" si="1"/>
        <v>1</v>
      </c>
      <c r="H44" s="3"/>
      <c r="I44" s="3"/>
      <c r="K44" s="2"/>
      <c r="L44" s="2"/>
    </row>
    <row r="45" spans="1:12">
      <c r="A45" s="2">
        <v>41</v>
      </c>
      <c r="B45" s="2" t="s">
        <v>6</v>
      </c>
      <c r="C45" s="2">
        <v>10</v>
      </c>
      <c r="D45" s="3">
        <v>14.9</v>
      </c>
      <c r="E45" s="2">
        <v>10</v>
      </c>
      <c r="F45" s="12">
        <f t="shared" si="0"/>
        <v>0</v>
      </c>
      <c r="G45" s="12">
        <f t="shared" si="1"/>
        <v>1</v>
      </c>
      <c r="H45" s="3"/>
      <c r="I45" s="3"/>
      <c r="K45" s="2"/>
      <c r="L45" s="2"/>
    </row>
    <row r="46" spans="1:12">
      <c r="A46" s="2">
        <v>42</v>
      </c>
      <c r="B46" s="2" t="s">
        <v>6</v>
      </c>
      <c r="C46" s="2">
        <v>9</v>
      </c>
      <c r="D46" s="3">
        <v>15.1</v>
      </c>
      <c r="E46" s="2">
        <v>9</v>
      </c>
      <c r="F46" s="12">
        <f t="shared" si="0"/>
        <v>0</v>
      </c>
      <c r="G46" s="12">
        <f t="shared" si="1"/>
        <v>1</v>
      </c>
      <c r="H46" s="3"/>
      <c r="I46" s="3"/>
      <c r="K46" s="2"/>
      <c r="L46" s="2"/>
    </row>
    <row r="47" spans="1:12">
      <c r="A47" s="2">
        <v>43</v>
      </c>
      <c r="B47" s="2" t="s">
        <v>6</v>
      </c>
      <c r="C47" s="2">
        <v>16</v>
      </c>
      <c r="D47" s="3">
        <v>15.1</v>
      </c>
      <c r="E47" s="2">
        <v>16</v>
      </c>
      <c r="F47" s="12">
        <f t="shared" si="0"/>
        <v>0</v>
      </c>
      <c r="G47" s="12">
        <f t="shared" si="1"/>
        <v>1</v>
      </c>
      <c r="H47" s="3"/>
      <c r="I47" s="3"/>
      <c r="K47" s="2"/>
      <c r="L47" s="2"/>
    </row>
    <row r="48" spans="1:12">
      <c r="A48" s="2">
        <v>44</v>
      </c>
      <c r="B48" s="2" t="s">
        <v>6</v>
      </c>
      <c r="C48" s="2">
        <v>11</v>
      </c>
      <c r="D48" s="3">
        <v>15.5</v>
      </c>
      <c r="E48" s="2">
        <v>11</v>
      </c>
      <c r="F48" s="12">
        <f t="shared" si="0"/>
        <v>0</v>
      </c>
      <c r="G48" s="12">
        <f t="shared" si="1"/>
        <v>1</v>
      </c>
      <c r="H48" s="3"/>
      <c r="I48" s="3"/>
      <c r="K48" s="2"/>
      <c r="L48" s="2"/>
    </row>
    <row r="49" spans="1:12">
      <c r="A49" s="2">
        <v>45</v>
      </c>
      <c r="B49" s="2" t="s">
        <v>6</v>
      </c>
      <c r="C49" s="2">
        <v>14</v>
      </c>
      <c r="D49" s="3">
        <v>15.5</v>
      </c>
      <c r="E49" s="2">
        <v>14</v>
      </c>
      <c r="F49" s="12">
        <f t="shared" si="0"/>
        <v>0</v>
      </c>
      <c r="G49" s="12">
        <f t="shared" si="1"/>
        <v>1</v>
      </c>
      <c r="H49" s="3"/>
      <c r="I49" s="3"/>
      <c r="K49" s="2"/>
      <c r="L49" s="2"/>
    </row>
    <row r="50" spans="1:12">
      <c r="A50" s="2">
        <v>46</v>
      </c>
      <c r="B50" s="2" t="s">
        <v>6</v>
      </c>
      <c r="C50" s="2">
        <v>13</v>
      </c>
      <c r="D50" s="3">
        <v>15.8</v>
      </c>
      <c r="E50" s="2">
        <v>13</v>
      </c>
      <c r="F50" s="12">
        <f t="shared" si="0"/>
        <v>0</v>
      </c>
      <c r="G50" s="12">
        <f t="shared" si="1"/>
        <v>1</v>
      </c>
      <c r="H50" s="3"/>
      <c r="I50" s="3"/>
      <c r="K50" s="2"/>
      <c r="L50" s="2"/>
    </row>
    <row r="51" spans="1:12">
      <c r="A51" s="2">
        <v>48</v>
      </c>
      <c r="B51" s="2" t="s">
        <v>6</v>
      </c>
      <c r="C51" s="2">
        <v>15</v>
      </c>
      <c r="D51" s="3">
        <v>16</v>
      </c>
      <c r="E51" s="2">
        <v>15</v>
      </c>
      <c r="F51" s="12">
        <f t="shared" si="0"/>
        <v>0</v>
      </c>
      <c r="G51" s="12">
        <f t="shared" si="1"/>
        <v>1</v>
      </c>
      <c r="H51" s="3"/>
      <c r="I51" s="3"/>
      <c r="K51" s="2"/>
      <c r="L51" s="2"/>
    </row>
    <row r="52" spans="1:12">
      <c r="A52" s="2">
        <v>49</v>
      </c>
      <c r="B52" s="2" t="s">
        <v>6</v>
      </c>
      <c r="C52" s="2">
        <v>16</v>
      </c>
      <c r="D52" s="3">
        <v>16.5</v>
      </c>
      <c r="E52" s="2">
        <v>16</v>
      </c>
      <c r="F52" s="12">
        <f t="shared" si="0"/>
        <v>0</v>
      </c>
      <c r="G52" s="12">
        <f t="shared" si="1"/>
        <v>1</v>
      </c>
      <c r="H52" s="3"/>
      <c r="I52" s="3"/>
      <c r="K52" s="2"/>
      <c r="L52" s="2"/>
    </row>
    <row r="53" spans="1:12">
      <c r="A53" s="2">
        <v>50</v>
      </c>
      <c r="B53" s="2" t="s">
        <v>6</v>
      </c>
      <c r="C53" s="2">
        <v>17</v>
      </c>
      <c r="D53" s="3">
        <v>16.5</v>
      </c>
      <c r="E53" s="2">
        <v>17</v>
      </c>
      <c r="F53" s="12">
        <f t="shared" si="0"/>
        <v>0</v>
      </c>
      <c r="G53" s="12">
        <f t="shared" si="1"/>
        <v>1</v>
      </c>
      <c r="H53" s="3"/>
      <c r="I53" s="3"/>
      <c r="K53" s="2"/>
      <c r="L53" s="2"/>
    </row>
    <row r="55" spans="1:12">
      <c r="J55" s="4"/>
    </row>
  </sheetData>
  <sortState ref="A4:D54">
    <sortCondition ref="B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reg1</vt:lpstr>
      <vt:lpstr>reg2</vt:lpstr>
      <vt:lpstr>reg3</vt:lpstr>
      <vt:lpstr>2-sample test</vt:lpstr>
      <vt:lpstr>Sheet3</vt:lpstr>
      <vt:lpstr>reg2-1</vt:lpstr>
      <vt:lpstr>reg3-1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Kesavan</dc:creator>
  <cp:lastModifiedBy>USER</cp:lastModifiedBy>
  <dcterms:created xsi:type="dcterms:W3CDTF">2025-09-24T07:38:13Z</dcterms:created>
  <dcterms:modified xsi:type="dcterms:W3CDTF">2026-01-12T12:37:51Z</dcterms:modified>
</cp:coreProperties>
</file>