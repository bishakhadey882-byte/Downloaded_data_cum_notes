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 activeTab="1"/>
  </bookViews>
  <sheets>
    <sheet name="reg2" sheetId="2" r:id="rId1"/>
    <sheet name="reg3" sheetId="3" r:id="rId2"/>
    <sheet name="Sheet1" sheetId="1" r:id="rId3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5" i="1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2"/>
  <c r="H112" l="1"/>
  <c r="I108"/>
  <c r="I107"/>
</calcChain>
</file>

<file path=xl/sharedStrings.xml><?xml version="1.0" encoding="utf-8"?>
<sst xmlns="http://schemas.openxmlformats.org/spreadsheetml/2006/main" count="486" uniqueCount="169">
  <si>
    <t>make</t>
  </si>
  <si>
    <t>model</t>
  </si>
  <si>
    <t>weight</t>
  </si>
  <si>
    <t>mpg</t>
  </si>
  <si>
    <t>acura</t>
  </si>
  <si>
    <t>rdx</t>
  </si>
  <si>
    <t>mdx</t>
  </si>
  <si>
    <t>alfa romeo</t>
  </si>
  <si>
    <t>stelvio</t>
  </si>
  <si>
    <t>audi</t>
  </si>
  <si>
    <t>q3</t>
  </si>
  <si>
    <t>q5</t>
  </si>
  <si>
    <t>q7</t>
  </si>
  <si>
    <t>bmw</t>
  </si>
  <si>
    <t>x2</t>
  </si>
  <si>
    <t>x1</t>
  </si>
  <si>
    <t>x3</t>
  </si>
  <si>
    <t>x5</t>
  </si>
  <si>
    <t>buick</t>
  </si>
  <si>
    <t>encore</t>
  </si>
  <si>
    <t>envision</t>
  </si>
  <si>
    <t xml:space="preserve">buick </t>
  </si>
  <si>
    <t>encore gx</t>
  </si>
  <si>
    <t>cadillac</t>
  </si>
  <si>
    <t>xt4</t>
  </si>
  <si>
    <t>xt5</t>
  </si>
  <si>
    <t>xt6</t>
  </si>
  <si>
    <t>Chevrolet</t>
  </si>
  <si>
    <t>trailblazer</t>
  </si>
  <si>
    <t>chevrolet</t>
  </si>
  <si>
    <t>trax</t>
  </si>
  <si>
    <t>equinox</t>
  </si>
  <si>
    <t>blazer</t>
  </si>
  <si>
    <t>traverse</t>
  </si>
  <si>
    <t>dodge</t>
  </si>
  <si>
    <t>durango</t>
  </si>
  <si>
    <t>fiat</t>
  </si>
  <si>
    <t>500X</t>
  </si>
  <si>
    <t>ford</t>
  </si>
  <si>
    <t>ecosport</t>
  </si>
  <si>
    <t>bronco sport</t>
  </si>
  <si>
    <t>escape</t>
  </si>
  <si>
    <t>edge</t>
  </si>
  <si>
    <t xml:space="preserve">bronco  </t>
  </si>
  <si>
    <t>explorer</t>
  </si>
  <si>
    <t>genesis</t>
  </si>
  <si>
    <t>gv70</t>
  </si>
  <si>
    <t>gv80</t>
  </si>
  <si>
    <t>gmc</t>
  </si>
  <si>
    <t>acadia</t>
  </si>
  <si>
    <t>honda</t>
  </si>
  <si>
    <t>crv</t>
  </si>
  <si>
    <t>HRV</t>
  </si>
  <si>
    <t>passport</t>
  </si>
  <si>
    <t>pilot</t>
  </si>
  <si>
    <t>hyundai</t>
  </si>
  <si>
    <t>tucson</t>
  </si>
  <si>
    <t>sante fe</t>
  </si>
  <si>
    <t>kona</t>
  </si>
  <si>
    <t>palisade</t>
  </si>
  <si>
    <t>infiniti</t>
  </si>
  <si>
    <t>qx50</t>
  </si>
  <si>
    <t>jaguar</t>
  </si>
  <si>
    <t>e pace</t>
  </si>
  <si>
    <t>f pace</t>
  </si>
  <si>
    <t>jeep</t>
  </si>
  <si>
    <t>renegade</t>
  </si>
  <si>
    <t>cherokee</t>
  </si>
  <si>
    <t>wrangler</t>
  </si>
  <si>
    <t>grand cherokee</t>
  </si>
  <si>
    <t>kia</t>
  </si>
  <si>
    <t>sorento</t>
  </si>
  <si>
    <t>seltos</t>
  </si>
  <si>
    <t>sportage</t>
  </si>
  <si>
    <t>telluride</t>
  </si>
  <si>
    <t>land rover</t>
  </si>
  <si>
    <t>range rover velar</t>
  </si>
  <si>
    <t>discovery sport</t>
  </si>
  <si>
    <t>range rover evoque</t>
  </si>
  <si>
    <t>range rover sport</t>
  </si>
  <si>
    <t>range rover discovery</t>
  </si>
  <si>
    <t>defender</t>
  </si>
  <si>
    <t>lexus</t>
  </si>
  <si>
    <t>ux</t>
  </si>
  <si>
    <t xml:space="preserve">rx </t>
  </si>
  <si>
    <t>rxl</t>
  </si>
  <si>
    <t>gx</t>
  </si>
  <si>
    <t>lincoln</t>
  </si>
  <si>
    <t>corsair</t>
  </si>
  <si>
    <t>nautilus</t>
  </si>
  <si>
    <t>aviator</t>
  </si>
  <si>
    <t>mazda</t>
  </si>
  <si>
    <t>cx 30</t>
  </si>
  <si>
    <t>cx5</t>
  </si>
  <si>
    <t>cx9</t>
  </si>
  <si>
    <t>mercedes benz</t>
  </si>
  <si>
    <t>GLA</t>
  </si>
  <si>
    <t>glc</t>
  </si>
  <si>
    <t>glb</t>
  </si>
  <si>
    <t>gle</t>
  </si>
  <si>
    <t>mini</t>
  </si>
  <si>
    <t>cooper countryman</t>
  </si>
  <si>
    <t>mitsubishi</t>
  </si>
  <si>
    <t>eclipse cross</t>
  </si>
  <si>
    <t>outlander</t>
  </si>
  <si>
    <t>nissan</t>
  </si>
  <si>
    <t>rogue sport</t>
  </si>
  <si>
    <t xml:space="preserve">rogue  </t>
  </si>
  <si>
    <t>murano</t>
  </si>
  <si>
    <t>pathfinder</t>
  </si>
  <si>
    <t>porsche</t>
  </si>
  <si>
    <t>macan</t>
  </si>
  <si>
    <t>cayenne</t>
  </si>
  <si>
    <t>subaru</t>
  </si>
  <si>
    <t>crosstrek</t>
  </si>
  <si>
    <t>forester</t>
  </si>
  <si>
    <t>outback</t>
  </si>
  <si>
    <t>ascent</t>
  </si>
  <si>
    <t>toyota</t>
  </si>
  <si>
    <t>rav4</t>
  </si>
  <si>
    <t>venza</t>
  </si>
  <si>
    <t>highlander</t>
  </si>
  <si>
    <t>corolla cross</t>
  </si>
  <si>
    <t>4runner</t>
  </si>
  <si>
    <t>volvo</t>
  </si>
  <si>
    <t>xc40</t>
  </si>
  <si>
    <t>xc60</t>
  </si>
  <si>
    <t>xc90</t>
  </si>
  <si>
    <t>VW</t>
  </si>
  <si>
    <t>taos</t>
  </si>
  <si>
    <t>vw</t>
  </si>
  <si>
    <t>tiguan</t>
  </si>
  <si>
    <t>atlas cross sport</t>
  </si>
  <si>
    <t xml:space="preserve">atlas  </t>
  </si>
  <si>
    <t>hybrid?</t>
  </si>
  <si>
    <t>US?</t>
  </si>
  <si>
    <t>NO</t>
  </si>
  <si>
    <t>YES</t>
  </si>
  <si>
    <t>Hybrid_Dummy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</si>
  <si>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</si>
  <si>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</si>
  <si>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</si>
  <si>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</si>
  <si>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</si>
  <si>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</si>
  <si>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</si>
  <si>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</si>
  <si>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</si>
  <si>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</si>
  <si>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</si>
  <si>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</si>
  <si>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</si>
  <si>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</si>
  <si>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</si>
  <si>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</si>
  <si>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</si>
  <si>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</si>
  <si>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</si>
  <si>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</si>
  <si>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</si>
  <si>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</si>
  <si>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</si>
  <si>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</si>
  <si>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</si>
  <si>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</si>
  <si>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22</t>
  </si>
  <si>
    <t>Residuals</t>
  </si>
  <si>
    <t>US_Dummy</t>
  </si>
  <si>
    <t>Predicted mpg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</si>
</sst>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79357</xdr:colOff>
      <xdr:row>1</xdr:row>
      <xdr:rowOff>82080</xdr:rowOff>
    </xdr:from>
    <xdr:to>
      <xdr:col>14</xdr:col>
      <xdr:colOff>414531</xdr:colOff>
      <xdr:row>6</xdr:row>
      <xdr:rowOff>174532</xdr:rowOff>
    </xdr:to>
    <xdr:pic>
      <xdr:nvPicPr>
        <xdr:cNvPr id="21" name="Ink 20">
          <a:extLst>
            <a:ext uri="{FF2B5EF4-FFF2-40B4-BE49-F238E27FC236}">
              <a16:creationId xmlns:a16="http://schemas.microsoft.com/office/drawing/2014/main" xmlns:mc="http://schemas.openxmlformats.org/markup-compatibility/2006" xmlns="" id="{3C280B4F-9BF3-8027-44BD-A97C465BFE69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5960" y="255470"/>
          <a:ext cx="2235960" cy="1002240"/>
        </a:xfrm>
        <a:prstGeom prst="rect">
          <a:avLst/>
        </a:prstGeom>
      </xdr:spPr>
    </xdr:pic>
    <xdr:clientData/>
  </xdr:twoCellAnchor>
  <xdr:twoCellAnchor editAs="oneCell">
    <xdr:from>
      <xdr:col>11</xdr:col>
      <xdr:colOff>256117</xdr:colOff>
      <xdr:row>5</xdr:row>
      <xdr:rowOff>161802</xdr:rowOff>
    </xdr:from>
    <xdr:to>
      <xdr:col>17</xdr:col>
      <xdr:colOff>390425</xdr:colOff>
      <xdr:row>12</xdr:row>
      <xdr:rowOff>4315</xdr:rowOff>
    </xdr:to>
    <xdr:pic>
      <xdr:nvPicPr>
        <xdr:cNvPr id="53" name="Ink 52">
          <a:extLst>
            <a:ext uri="{FF2B5EF4-FFF2-40B4-BE49-F238E27FC236}">
              <a16:creationId xmlns:a16="http://schemas.microsoft.com/office/drawing/2014/main" xmlns:mc="http://schemas.openxmlformats.org/markup-compatibility/2006" xmlns="" id="{6654A046-5C8A-E4C0-CD87-D426C2707C44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90919" y="1053230"/>
          <a:ext cx="3927241" cy="1111320"/>
        </a:xfrm>
        <a:prstGeom prst="rect">
          <a:avLst/>
        </a:prstGeom>
      </xdr:spPr>
    </xdr:pic>
    <xdr:clientData/>
  </xdr:twoCellAnchor>
  <xdr:twoCellAnchor editAs="oneCell">
    <xdr:from>
      <xdr:col>12</xdr:col>
      <xdr:colOff>438882</xdr:colOff>
      <xdr:row>8</xdr:row>
      <xdr:rowOff>1633</xdr:rowOff>
    </xdr:from>
    <xdr:to>
      <xdr:col>17</xdr:col>
      <xdr:colOff>89465</xdr:colOff>
      <xdr:row>11</xdr:row>
      <xdr:rowOff>88064</xdr:rowOff>
    </xdr:to>
    <xdr:pic>
      <xdr:nvPicPr>
        <xdr:cNvPr id="56" name="Ink 55">
          <a:extLst>
            <a:ext uri="{FF2B5EF4-FFF2-40B4-BE49-F238E27FC236}">
              <a16:creationId xmlns:a16="http://schemas.microsoft.com/office/drawing/2014/main" xmlns:mc="http://schemas.openxmlformats.org/markup-compatibility/2006" xmlns="" id="{2F765EBB-2238-AF9E-8EF7-48B3ED131C17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03799" y="1431590"/>
          <a:ext cx="2813402" cy="637200"/>
        </a:xfrm>
        <a:prstGeom prst="rect">
          <a:avLst/>
        </a:prstGeom>
      </xdr:spPr>
    </xdr:pic>
    <xdr:clientData/>
  </xdr:twoCellAnchor>
  <xdr:twoCellAnchor editAs="oneCell">
    <xdr:from>
      <xdr:col>12</xdr:col>
      <xdr:colOff>350322</xdr:colOff>
      <xdr:row>13</xdr:row>
      <xdr:rowOff>152045</xdr:rowOff>
    </xdr:from>
    <xdr:to>
      <xdr:col>12</xdr:col>
      <xdr:colOff>394602</xdr:colOff>
      <xdr:row>15</xdr:row>
      <xdr:rowOff>30985</xdr:rowOff>
    </xdr:to>
    <xdr:pic>
      <xdr:nvPicPr>
        <xdr:cNvPr id="57" name="Ink 56">
          <a:extLst>
            <a:ext uri="{FF2B5EF4-FFF2-40B4-BE49-F238E27FC236}">
              <a16:creationId xmlns:a16="http://schemas.microsoft.com/office/drawing/2014/main" xmlns:mc="http://schemas.openxmlformats.org/markup-compatibility/2006" xmlns="" id="{35C17E68-3387-17C3-CE46-BE2554EC70C9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15240" y="2479550"/>
          <a:ext cx="56520" cy="250200"/>
        </a:xfrm>
        <a:prstGeom prst="rect">
          <a:avLst/>
        </a:prstGeom>
      </xdr:spPr>
    </xdr:pic>
    <xdr:clientData/>
  </xdr:twoCellAnchor>
  <xdr:twoCellAnchor editAs="oneCell">
    <xdr:from>
      <xdr:col>12</xdr:col>
      <xdr:colOff>277962</xdr:colOff>
      <xdr:row>10</xdr:row>
      <xdr:rowOff>86854</xdr:rowOff>
    </xdr:from>
    <xdr:to>
      <xdr:col>17</xdr:col>
      <xdr:colOff>82985</xdr:colOff>
      <xdr:row>16</xdr:row>
      <xdr:rowOff>104196</xdr:rowOff>
    </xdr:to>
    <xdr:pic>
      <xdr:nvPicPr>
        <xdr:cNvPr id="72" name="Ink 71">
          <a:extLst>
            <a:ext uri="{FF2B5EF4-FFF2-40B4-BE49-F238E27FC236}">
              <a16:creationId xmlns:a16="http://schemas.microsoft.com/office/drawing/2014/main" xmlns:mc="http://schemas.openxmlformats.org/markup-compatibility/2006" xmlns="" id="{140B6B91-2E4B-2E43-BB03-CA5A3C372303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42881" y="1875830"/>
          <a:ext cx="2967839" cy="1106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8"/>
  <sheetViews>
    <sheetView workbookViewId="0">
      <selection sqref="A1:I128"/>
    </sheetView>
  </sheetViews>
  <sheetFormatPr defaultRowHeight="15"/>
  <cols>
    <col min="1" max="1" width="18.85546875" customWidth="1"/>
    <col min="2" max="2" width="11.42578125" customWidth="1"/>
    <col min="3" max="3" width="20.140625" customWidth="1"/>
    <col min="6" max="6" width="15.28515625" customWidth="1"/>
    <col min="7" max="7" width="14.7109375" customWidth="1"/>
    <col min="8" max="8" width="17" customWidth="1"/>
    <col min="9" max="9" width="21.7109375" customWidth="1"/>
  </cols>
  <sheetData>
    <row r="1" spans="1:9">
      <c r="A1" t="s">
        <v>139</v>
      </c>
    </row>
    <row r="2" spans="1:9" ht="15.75" thickBot="1"/>
    <row r="3" spans="1:9">
      <c r="A3" s="5" t="s">
        <v>140</v>
      </c>
      <c r="B3" s="5"/>
    </row>
    <row r="4" spans="1:9">
      <c r="A4" s="2" t="s">
        <v>141</v>
      </c>
      <c r="B4" s="2">
        <v>0.92976304129373477</v>
      </c>
    </row>
    <row r="5" spans="1:9">
      <c r="A5" s="2" t="s">
        <v>142</v>
      </c>
      <c r="B5" s="2">
        <v>0.86445931295577516</v>
      </c>
    </row>
    <row r="6" spans="1:9">
      <c r="A6" s="2" t="s">
        <v>143</v>
      </c>
      <c r="B6" s="2">
        <v>0.86174849921489072</v>
      </c>
    </row>
    <row r="7" spans="1:9">
      <c r="A7" s="2" t="s">
        <v>144</v>
      </c>
      <c r="B7" s="2">
        <v>1.7715414398551326</v>
      </c>
    </row>
    <row r="8" spans="1:9" ht="15.75" thickBot="1">
      <c r="A8" s="3" t="s">
        <v>145</v>
      </c>
      <c r="B8" s="3">
        <v>103</v>
      </c>
    </row>
    <row r="10" spans="1:9" ht="15.75" thickBot="1">
      <c r="A10" t="s">
        <v>146</v>
      </c>
    </row>
    <row r="11" spans="1:9">
      <c r="A11" s="4"/>
      <c r="B11" s="4" t="s">
        <v>151</v>
      </c>
      <c r="C11" s="4" t="s">
        <v>152</v>
      </c>
      <c r="D11" s="4" t="s">
        <v>153</v>
      </c>
      <c r="E11" s="4" t="s">
        <v>154</v>
      </c>
      <c r="F11" s="4" t="s">
        <v>155</v>
      </c>
    </row>
    <row r="12" spans="1:9">
      <c r="A12" s="2" t="s">
        <v>147</v>
      </c>
      <c r="B12" s="2">
        <v>2</v>
      </c>
      <c r="C12" s="2">
        <v>2001.600985891484</v>
      </c>
      <c r="D12" s="2">
        <v>1000.800492945742</v>
      </c>
      <c r="E12" s="2">
        <v>318.89292130919927</v>
      </c>
      <c r="F12" s="2">
        <v>4.0131383833935563E-44</v>
      </c>
    </row>
    <row r="13" spans="1:9">
      <c r="A13" s="2" t="s">
        <v>148</v>
      </c>
      <c r="B13" s="2">
        <v>100</v>
      </c>
      <c r="C13" s="2">
        <v>313.83590731239963</v>
      </c>
      <c r="D13" s="2">
        <v>3.1383590731239961</v>
      </c>
      <c r="E13" s="2"/>
      <c r="F13" s="2"/>
    </row>
    <row r="14" spans="1:9" ht="15.75" thickBot="1">
      <c r="A14" s="3" t="s">
        <v>149</v>
      </c>
      <c r="B14" s="3">
        <v>102</v>
      </c>
      <c r="C14" s="3">
        <v>2315.4368932038838</v>
      </c>
      <c r="D14" s="3"/>
      <c r="E14" s="3"/>
      <c r="F14" s="3"/>
    </row>
    <row r="15" spans="1:9" ht="15.75" thickBot="1"/>
    <row r="16" spans="1:9">
      <c r="A16" s="4"/>
      <c r="B16" s="4" t="s">
        <v>156</v>
      </c>
      <c r="C16" s="4" t="s">
        <v>144</v>
      </c>
      <c r="D16" s="4" t="s">
        <v>157</v>
      </c>
      <c r="E16" s="4" t="s">
        <v>158</v>
      </c>
      <c r="F16" s="4" t="s">
        <v>159</v>
      </c>
      <c r="G16" s="4" t="s">
        <v>160</v>
      </c>
      <c r="H16" s="4" t="s">
        <v>161</v>
      </c>
      <c r="I16" s="4" t="s">
        <v>162</v>
      </c>
    </row>
    <row r="17" spans="1:9">
      <c r="A17" s="2" t="s">
        <v>150</v>
      </c>
      <c r="B17" s="2">
        <v>41.711312476982258</v>
      </c>
      <c r="C17" s="2">
        <v>1.2746356869696169</v>
      </c>
      <c r="D17" s="2">
        <v>32.724105329381473</v>
      </c>
      <c r="E17" s="2">
        <v>3.1222239728806353E-55</v>
      </c>
      <c r="F17" s="2">
        <v>39.182471644114017</v>
      </c>
      <c r="G17" s="2">
        <v>44.240153309850498</v>
      </c>
      <c r="H17" s="2">
        <v>39.182471644114017</v>
      </c>
      <c r="I17" s="2">
        <v>44.240153309850498</v>
      </c>
    </row>
    <row r="18" spans="1:9">
      <c r="A18" s="2">
        <v>0</v>
      </c>
      <c r="B18" s="2">
        <v>11.748958197441548</v>
      </c>
      <c r="C18" s="2">
        <v>0.5896546604932883</v>
      </c>
      <c r="D18" s="2">
        <v>19.9251510835388</v>
      </c>
      <c r="E18" s="2">
        <v>1.349713796020846E-36</v>
      </c>
      <c r="F18" s="2">
        <v>10.57910017605537</v>
      </c>
      <c r="G18" s="2">
        <v>12.918816218827725</v>
      </c>
      <c r="H18" s="2">
        <v>10.57910017605537</v>
      </c>
      <c r="I18" s="2">
        <v>12.918816218827725</v>
      </c>
    </row>
    <row r="19" spans="1:9" ht="15.75" thickBot="1">
      <c r="A19" s="3">
        <v>4005</v>
      </c>
      <c r="B19" s="3">
        <v>-4.6636995878548285E-3</v>
      </c>
      <c r="C19" s="3">
        <v>3.0766134224290847E-4</v>
      </c>
      <c r="D19" s="3">
        <v>-15.158549182213111</v>
      </c>
      <c r="E19" s="3">
        <v>1.1645388188163096E-27</v>
      </c>
      <c r="F19" s="3">
        <v>-5.2740909121465852E-3</v>
      </c>
      <c r="G19" s="3">
        <v>-4.0533082635630718E-3</v>
      </c>
      <c r="H19" s="3">
        <v>-5.2740909121465852E-3</v>
      </c>
      <c r="I19" s="3">
        <v>-4.0533082635630718E-3</v>
      </c>
    </row>
    <row r="23" spans="1:9">
      <c r="A23" t="s">
        <v>163</v>
      </c>
    </row>
    <row r="24" spans="1:9" ht="15.75" thickBot="1"/>
    <row r="25" spans="1:9">
      <c r="A25" s="4" t="s">
        <v>164</v>
      </c>
      <c r="B25" s="4" t="s">
        <v>165</v>
      </c>
      <c r="C25" s="4" t="s">
        <v>166</v>
      </c>
    </row>
    <row r="26" spans="1:9">
      <c r="A26" s="2">
        <v>1</v>
      </c>
      <c r="B26" s="2">
        <v>20.747982829574802</v>
      </c>
      <c r="C26" s="2">
        <v>-0.74798282957480211</v>
      </c>
    </row>
    <row r="27" spans="1:9">
      <c r="A27" s="2">
        <v>2</v>
      </c>
      <c r="B27" s="2">
        <v>22.963240133805847</v>
      </c>
      <c r="C27" s="2">
        <v>1.0367598661941528</v>
      </c>
    </row>
    <row r="28" spans="1:9">
      <c r="A28" s="2">
        <v>3</v>
      </c>
      <c r="B28" s="2">
        <v>23.616158076105524</v>
      </c>
      <c r="C28" s="2">
        <v>-0.61615807610552409</v>
      </c>
    </row>
    <row r="29" spans="1:9">
      <c r="A29" s="2">
        <v>4</v>
      </c>
      <c r="B29" s="2">
        <v>22.403596183263268</v>
      </c>
      <c r="C29" s="2">
        <v>1.596403816736732</v>
      </c>
    </row>
    <row r="30" spans="1:9">
      <c r="A30" s="2">
        <v>5</v>
      </c>
      <c r="B30" s="2">
        <v>18.019718570679728</v>
      </c>
      <c r="C30" s="2">
        <v>1.9802814293202715</v>
      </c>
    </row>
    <row r="31" spans="1:9">
      <c r="A31" s="2">
        <v>6</v>
      </c>
      <c r="B31" s="2">
        <v>24.712127479251407</v>
      </c>
      <c r="C31" s="2">
        <v>0.28787252074859282</v>
      </c>
    </row>
    <row r="32" spans="1:9">
      <c r="A32" s="2">
        <v>7</v>
      </c>
      <c r="B32" s="2">
        <v>24.33903151222302</v>
      </c>
      <c r="C32" s="2">
        <v>1.6609684877769801</v>
      </c>
    </row>
    <row r="33" spans="1:3">
      <c r="A33" s="2">
        <v>8</v>
      </c>
      <c r="B33" s="2">
        <v>22.030500216234881</v>
      </c>
      <c r="C33" s="2">
        <v>1.9694997837651194</v>
      </c>
    </row>
    <row r="34" spans="1:3">
      <c r="A34" s="2">
        <v>9</v>
      </c>
      <c r="B34" s="2">
        <v>19.605376430550372</v>
      </c>
      <c r="C34" s="2">
        <v>3.3946235694496281</v>
      </c>
    </row>
    <row r="35" spans="1:3">
      <c r="A35" s="2">
        <v>10</v>
      </c>
      <c r="B35" s="2">
        <v>26.064600359729308</v>
      </c>
      <c r="C35" s="2">
        <v>-3.0646003597293081</v>
      </c>
    </row>
    <row r="36" spans="1:3">
      <c r="A36" s="2">
        <v>11</v>
      </c>
      <c r="B36" s="2">
        <v>23.219743611137861</v>
      </c>
      <c r="C36" s="2">
        <v>-0.21974361113786145</v>
      </c>
    </row>
    <row r="37" spans="1:3">
      <c r="A37" s="2">
        <v>12</v>
      </c>
      <c r="B37" s="2">
        <v>26.274466841182775</v>
      </c>
      <c r="C37" s="2">
        <v>-0.27446684118277531</v>
      </c>
    </row>
    <row r="38" spans="1:3">
      <c r="A38" s="2">
        <v>13</v>
      </c>
      <c r="B38" s="2">
        <v>23.382973096712782</v>
      </c>
      <c r="C38" s="2">
        <v>-0.38297309671278157</v>
      </c>
    </row>
    <row r="39" spans="1:3">
      <c r="A39" s="2">
        <v>14</v>
      </c>
      <c r="B39" s="2">
        <v>21.657404249206493</v>
      </c>
      <c r="C39" s="2">
        <v>-1.6574042492064933</v>
      </c>
    </row>
    <row r="40" spans="1:3">
      <c r="A40" s="2">
        <v>15</v>
      </c>
      <c r="B40" s="2">
        <v>20.328249866667868</v>
      </c>
      <c r="C40" s="2">
        <v>-2.3282498666678677</v>
      </c>
    </row>
    <row r="41" spans="1:3">
      <c r="A41" s="2">
        <v>16</v>
      </c>
      <c r="B41" s="2">
        <v>26.437696326757695</v>
      </c>
      <c r="C41" s="2">
        <v>0.56230367324230457</v>
      </c>
    </row>
    <row r="42" spans="1:3">
      <c r="A42" s="2">
        <v>17</v>
      </c>
      <c r="B42" s="2">
        <v>26.53097031851479</v>
      </c>
      <c r="C42" s="2">
        <v>-1.5309703185147896</v>
      </c>
    </row>
    <row r="43" spans="1:3">
      <c r="A43" s="2">
        <v>18</v>
      </c>
      <c r="B43" s="2">
        <v>25.201815935976164</v>
      </c>
      <c r="C43" s="2">
        <v>-0.20181593597616398</v>
      </c>
    </row>
    <row r="44" spans="1:3">
      <c r="A44" s="2">
        <v>19</v>
      </c>
      <c r="B44" s="2">
        <v>21.960544722417058</v>
      </c>
      <c r="C44" s="2">
        <v>-2.9605447224170582</v>
      </c>
    </row>
    <row r="45" spans="1:3">
      <c r="A45" s="2">
        <v>20</v>
      </c>
      <c r="B45" s="2">
        <v>19.815242912003839</v>
      </c>
      <c r="C45" s="2">
        <v>0.18475708799616086</v>
      </c>
    </row>
    <row r="46" spans="1:3">
      <c r="A46" s="2">
        <v>21</v>
      </c>
      <c r="B46" s="2">
        <v>17.903126080983359</v>
      </c>
      <c r="C46" s="2">
        <v>9.6873919016640997E-2</v>
      </c>
    </row>
    <row r="47" spans="1:3">
      <c r="A47" s="2">
        <v>22</v>
      </c>
      <c r="B47" s="2">
        <v>26.41437782881842</v>
      </c>
      <c r="C47" s="2">
        <v>-3.4143778288184201</v>
      </c>
    </row>
    <row r="48" spans="1:3">
      <c r="A48" s="2">
        <v>23</v>
      </c>
      <c r="B48" s="2">
        <v>25.901370874154388</v>
      </c>
      <c r="C48" s="2">
        <v>-1.901370874154388</v>
      </c>
    </row>
    <row r="49" spans="1:3">
      <c r="A49" s="2">
        <v>24</v>
      </c>
      <c r="B49" s="2">
        <v>25.318408425672537</v>
      </c>
      <c r="C49" s="2">
        <v>-0.31840842567253702</v>
      </c>
    </row>
    <row r="50" spans="1:3">
      <c r="A50" s="2">
        <v>25</v>
      </c>
      <c r="B50" s="2">
        <v>25.248452931854715</v>
      </c>
      <c r="C50" s="2">
        <v>0.75154706814528538</v>
      </c>
    </row>
    <row r="51" spans="1:3">
      <c r="A51" s="2">
        <v>26</v>
      </c>
      <c r="B51" s="2">
        <v>21.890589228599236</v>
      </c>
      <c r="C51" s="2">
        <v>0.10941077140076416</v>
      </c>
    </row>
    <row r="52" spans="1:3">
      <c r="A52" s="2">
        <v>27</v>
      </c>
      <c r="B52" s="2">
        <v>19.348872953218354</v>
      </c>
      <c r="C52" s="2">
        <v>-1.3488729532183541</v>
      </c>
    </row>
    <row r="53" spans="1:3">
      <c r="A53" s="2">
        <v>28</v>
      </c>
      <c r="B53" s="2">
        <v>20.421523858424965</v>
      </c>
      <c r="C53" s="2">
        <v>0.57847614157503457</v>
      </c>
    </row>
    <row r="54" spans="1:3">
      <c r="A54" s="2">
        <v>29</v>
      </c>
      <c r="B54" s="2">
        <v>21.610767253327946</v>
      </c>
      <c r="C54" s="2">
        <v>2.3892327466720538</v>
      </c>
    </row>
    <row r="55" spans="1:3">
      <c r="A55" s="2">
        <v>30</v>
      </c>
      <c r="B55" s="2">
        <v>18.789229002675775</v>
      </c>
      <c r="C55" s="2">
        <v>-0.78922900267577489</v>
      </c>
    </row>
    <row r="56" spans="1:3">
      <c r="A56" s="2">
        <v>31</v>
      </c>
      <c r="B56" s="2">
        <v>21.214352788360287</v>
      </c>
      <c r="C56" s="2">
        <v>-2.2143527883602871</v>
      </c>
    </row>
    <row r="57" spans="1:3">
      <c r="A57" s="2">
        <v>32</v>
      </c>
      <c r="B57" s="2">
        <v>36.321174689057308</v>
      </c>
      <c r="C57" s="2">
        <v>-1.3211746890573082</v>
      </c>
    </row>
    <row r="58" spans="1:3">
      <c r="A58" s="2">
        <v>33</v>
      </c>
      <c r="B58" s="2">
        <v>27.510347231964303</v>
      </c>
      <c r="C58" s="2">
        <v>1.4896527680356968</v>
      </c>
    </row>
    <row r="59" spans="1:3">
      <c r="A59" s="2">
        <v>34</v>
      </c>
      <c r="B59" s="2">
        <v>25.621548898883098</v>
      </c>
      <c r="C59" s="2">
        <v>2.3784511011169016</v>
      </c>
    </row>
    <row r="60" spans="1:3">
      <c r="A60" s="2">
        <v>35</v>
      </c>
      <c r="B60" s="2">
        <v>22.263685195627623</v>
      </c>
      <c r="C60" s="2">
        <v>-1.2636851956276232</v>
      </c>
    </row>
    <row r="61" spans="1:3">
      <c r="A61" s="2">
        <v>36</v>
      </c>
      <c r="B61" s="2">
        <v>21.750678240963591</v>
      </c>
      <c r="C61" s="2">
        <v>-1.750678240963591</v>
      </c>
    </row>
    <row r="62" spans="1:3">
      <c r="A62" s="2">
        <v>37</v>
      </c>
      <c r="B62" s="2">
        <v>35.854804730271823</v>
      </c>
      <c r="C62" s="2">
        <v>-0.85480473027182313</v>
      </c>
    </row>
    <row r="63" spans="1:3">
      <c r="A63" s="2">
        <v>38</v>
      </c>
      <c r="B63" s="2">
        <v>33.77945841367643</v>
      </c>
      <c r="C63" s="2">
        <v>-3.77945841367643</v>
      </c>
    </row>
    <row r="64" spans="1:3">
      <c r="A64" s="2">
        <v>39</v>
      </c>
      <c r="B64" s="2">
        <v>27.043977273178822</v>
      </c>
      <c r="C64" s="2">
        <v>-1.0439772731788217</v>
      </c>
    </row>
    <row r="65" spans="1:3">
      <c r="A65" s="2">
        <v>40</v>
      </c>
      <c r="B65" s="2">
        <v>24.898675462765603</v>
      </c>
      <c r="C65" s="2">
        <v>1.1013245372343974</v>
      </c>
    </row>
    <row r="66" spans="1:3">
      <c r="A66" s="2">
        <v>41</v>
      </c>
      <c r="B66" s="2">
        <v>23.359654598773506</v>
      </c>
      <c r="C66" s="2">
        <v>0.64034540122649375</v>
      </c>
    </row>
    <row r="67" spans="1:3">
      <c r="A67" s="2">
        <v>42</v>
      </c>
      <c r="B67" s="2">
        <v>21.214352788360287</v>
      </c>
      <c r="C67" s="2">
        <v>-0.21435278836028715</v>
      </c>
    </row>
    <row r="68" spans="1:3">
      <c r="A68" s="2">
        <v>43</v>
      </c>
      <c r="B68" s="2">
        <v>22.333640689445446</v>
      </c>
      <c r="C68" s="2">
        <v>-0.33364068944544556</v>
      </c>
    </row>
    <row r="69" spans="1:3">
      <c r="A69" s="2">
        <v>44</v>
      </c>
      <c r="B69" s="2">
        <v>22.450233179141815</v>
      </c>
      <c r="C69" s="2">
        <v>-1.450233179141815</v>
      </c>
    </row>
    <row r="70" spans="1:3">
      <c r="A70" s="2">
        <v>45</v>
      </c>
      <c r="B70" s="2">
        <v>21.424219269813754</v>
      </c>
      <c r="C70" s="2">
        <v>-1.4242192698137544</v>
      </c>
    </row>
    <row r="71" spans="1:3">
      <c r="A71" s="2">
        <v>46</v>
      </c>
      <c r="B71" s="2">
        <v>26.041281861790033</v>
      </c>
      <c r="C71" s="2">
        <v>-2.0412818617900328</v>
      </c>
    </row>
    <row r="72" spans="1:3">
      <c r="A72" s="2">
        <v>47</v>
      </c>
      <c r="B72" s="2">
        <v>22.730055154413105</v>
      </c>
      <c r="C72" s="2">
        <v>0.26994484558689535</v>
      </c>
    </row>
    <row r="73" spans="1:3">
      <c r="A73" s="2">
        <v>48</v>
      </c>
      <c r="B73" s="2">
        <v>21.00448630690682</v>
      </c>
      <c r="C73" s="2">
        <v>-3.0044863069068199</v>
      </c>
    </row>
    <row r="74" spans="1:3">
      <c r="A74" s="2">
        <v>49</v>
      </c>
      <c r="B74" s="2">
        <v>19.139006471764887</v>
      </c>
      <c r="C74" s="2">
        <v>-0.1390064717648869</v>
      </c>
    </row>
    <row r="75" spans="1:3">
      <c r="A75" s="2">
        <v>50</v>
      </c>
      <c r="B75" s="2">
        <v>33.639547426040785</v>
      </c>
      <c r="C75" s="2">
        <v>-5.6395474260407852</v>
      </c>
    </row>
    <row r="76" spans="1:3">
      <c r="A76" s="2">
        <v>51</v>
      </c>
      <c r="B76" s="2">
        <v>27.160569762875191</v>
      </c>
      <c r="C76" s="2">
        <v>0.8394302371248088</v>
      </c>
    </row>
    <row r="77" spans="1:3">
      <c r="A77" s="2">
        <v>52</v>
      </c>
      <c r="B77" s="2">
        <v>25.458319413308182</v>
      </c>
      <c r="C77" s="2">
        <v>-2.4583194133081818</v>
      </c>
    </row>
    <row r="78" spans="1:3">
      <c r="A78" s="2">
        <v>53</v>
      </c>
      <c r="B78" s="2">
        <v>21.657404249206493</v>
      </c>
      <c r="C78" s="2">
        <v>-0.65740424920649332</v>
      </c>
    </row>
    <row r="79" spans="1:3">
      <c r="A79" s="2">
        <v>54</v>
      </c>
      <c r="B79" s="2">
        <v>23.126469619380767</v>
      </c>
      <c r="C79" s="2">
        <v>1.8735303806192327</v>
      </c>
    </row>
    <row r="80" spans="1:3">
      <c r="A80" s="2">
        <v>55</v>
      </c>
      <c r="B80" s="2">
        <v>21.424219269813754</v>
      </c>
      <c r="C80" s="2">
        <v>-0.42421926981375435</v>
      </c>
    </row>
    <row r="81" spans="1:3">
      <c r="A81" s="2">
        <v>56</v>
      </c>
      <c r="B81" s="2">
        <v>21.540811759510124</v>
      </c>
      <c r="C81" s="2">
        <v>-0.54081175951012384</v>
      </c>
    </row>
    <row r="82" spans="1:3">
      <c r="A82" s="2">
        <v>57</v>
      </c>
      <c r="B82" s="2">
        <v>21.960544722417058</v>
      </c>
      <c r="C82" s="2">
        <v>-1.9605447224170582</v>
      </c>
    </row>
    <row r="83" spans="1:3">
      <c r="A83" s="2">
        <v>58</v>
      </c>
      <c r="B83" s="2">
        <v>17.203571142805135</v>
      </c>
      <c r="C83" s="2">
        <v>0.796428857194865</v>
      </c>
    </row>
    <row r="84" spans="1:3">
      <c r="A84" s="2">
        <v>59</v>
      </c>
      <c r="B84" s="2">
        <v>16.504016204626911</v>
      </c>
      <c r="C84" s="2">
        <v>0.49598379537308901</v>
      </c>
    </row>
    <row r="85" spans="1:3">
      <c r="A85" s="2">
        <v>60</v>
      </c>
      <c r="B85" s="2">
        <v>16.364105216991266</v>
      </c>
      <c r="C85" s="2">
        <v>1.6358947830087338</v>
      </c>
    </row>
    <row r="86" spans="1:3">
      <c r="A86" s="2">
        <v>61</v>
      </c>
      <c r="B86" s="2">
        <v>36.810863145782065</v>
      </c>
      <c r="C86" s="2">
        <v>0.18913685421793502</v>
      </c>
    </row>
    <row r="87" spans="1:3">
      <c r="A87" s="2">
        <v>62</v>
      </c>
      <c r="B87" s="2">
        <v>31.074512652720628</v>
      </c>
      <c r="C87" s="2">
        <v>-2.0745126527206281</v>
      </c>
    </row>
    <row r="88" spans="1:3">
      <c r="A88" s="2">
        <v>63</v>
      </c>
      <c r="B88" s="2">
        <v>20.025109393457306</v>
      </c>
      <c r="C88" s="2">
        <v>-2.5109393457306339E-2</v>
      </c>
    </row>
    <row r="89" spans="1:3">
      <c r="A89" s="2">
        <v>64</v>
      </c>
      <c r="B89" s="2">
        <v>17.599985607772794</v>
      </c>
      <c r="C89" s="2">
        <v>-0.59998560777279408</v>
      </c>
    </row>
    <row r="90" spans="1:3">
      <c r="A90" s="2">
        <v>65</v>
      </c>
      <c r="B90" s="2">
        <v>21.027804804846092</v>
      </c>
      <c r="C90" s="2">
        <v>0.97219519515390829</v>
      </c>
    </row>
    <row r="91" spans="1:3">
      <c r="A91" s="2">
        <v>66</v>
      </c>
      <c r="B91" s="2">
        <v>23.476247088469879</v>
      </c>
      <c r="C91" s="2">
        <v>-0.47624708846987929</v>
      </c>
    </row>
    <row r="92" spans="1:3">
      <c r="A92" s="2">
        <v>67</v>
      </c>
      <c r="B92" s="2">
        <v>20.444842356364241</v>
      </c>
      <c r="C92" s="2">
        <v>-2.4448423563642407</v>
      </c>
    </row>
    <row r="93" spans="1:3">
      <c r="A93" s="2">
        <v>68</v>
      </c>
      <c r="B93" s="2">
        <v>18.089674064497551</v>
      </c>
      <c r="C93" s="2">
        <v>0.91032593550244911</v>
      </c>
    </row>
    <row r="94" spans="1:3">
      <c r="A94" s="2">
        <v>69</v>
      </c>
      <c r="B94" s="2">
        <v>26.41437782881842</v>
      </c>
      <c r="C94" s="2">
        <v>0.58562217118157989</v>
      </c>
    </row>
    <row r="95" spans="1:3">
      <c r="A95" s="2">
        <v>70</v>
      </c>
      <c r="B95" s="2">
        <v>24.968630956583425</v>
      </c>
      <c r="C95" s="2">
        <v>-0.96863095658342502</v>
      </c>
    </row>
    <row r="96" spans="1:3">
      <c r="A96" s="2">
        <v>71</v>
      </c>
      <c r="B96" s="2">
        <v>20.328249866667868</v>
      </c>
      <c r="C96" s="2">
        <v>1.6717501333321323</v>
      </c>
    </row>
    <row r="97" spans="1:3">
      <c r="A97" s="2">
        <v>72</v>
      </c>
      <c r="B97" s="2">
        <v>24.78208297306923</v>
      </c>
      <c r="C97" s="2">
        <v>2.2179170269307704</v>
      </c>
    </row>
    <row r="98" spans="1:3">
      <c r="A98" s="2">
        <v>73</v>
      </c>
      <c r="B98" s="2">
        <v>23.009877129684394</v>
      </c>
      <c r="C98" s="2">
        <v>-1.0098771296843942</v>
      </c>
    </row>
    <row r="99" spans="1:3">
      <c r="A99" s="2">
        <v>74</v>
      </c>
      <c r="B99" s="2">
        <v>24.05920953695173</v>
      </c>
      <c r="C99" s="2">
        <v>1.9407904630482697</v>
      </c>
    </row>
    <row r="100" spans="1:3">
      <c r="A100" s="2">
        <v>75</v>
      </c>
      <c r="B100" s="2">
        <v>17.716578097469164</v>
      </c>
      <c r="C100" s="2">
        <v>2.2834219025308364</v>
      </c>
    </row>
    <row r="101" spans="1:3">
      <c r="A101" s="2">
        <v>76</v>
      </c>
      <c r="B101" s="2">
        <v>24.50226099779794</v>
      </c>
      <c r="C101" s="2">
        <v>0.49773900220206002</v>
      </c>
    </row>
    <row r="102" spans="1:3">
      <c r="A102" s="2">
        <v>77</v>
      </c>
      <c r="B102" s="2">
        <v>25.318408425672537</v>
      </c>
      <c r="C102" s="2">
        <v>-1.318408425672537</v>
      </c>
    </row>
    <row r="103" spans="1:3">
      <c r="A103" s="2">
        <v>78</v>
      </c>
      <c r="B103" s="2">
        <v>23.779387561680441</v>
      </c>
      <c r="C103" s="2">
        <v>1.2206124383195593</v>
      </c>
    </row>
    <row r="104" spans="1:3">
      <c r="A104" s="2">
        <v>79</v>
      </c>
      <c r="B104" s="2">
        <v>26.017963363850761</v>
      </c>
      <c r="C104" s="2">
        <v>-1.7963363850761027E-2</v>
      </c>
    </row>
    <row r="105" spans="1:3">
      <c r="A105" s="2">
        <v>80</v>
      </c>
      <c r="B105" s="2">
        <v>24.898675462765603</v>
      </c>
      <c r="C105" s="2">
        <v>0.10132453723439738</v>
      </c>
    </row>
    <row r="106" spans="1:3">
      <c r="A106" s="2">
        <v>81</v>
      </c>
      <c r="B106" s="2">
        <v>22.939921635866572</v>
      </c>
      <c r="C106" s="2">
        <v>-1.9399216358665718</v>
      </c>
    </row>
    <row r="107" spans="1:3">
      <c r="A107" s="2">
        <v>82</v>
      </c>
      <c r="B107" s="2">
        <v>20.258294372850045</v>
      </c>
      <c r="C107" s="2">
        <v>0.74170562714995469</v>
      </c>
    </row>
    <row r="108" spans="1:3">
      <c r="A108" s="2">
        <v>83</v>
      </c>
      <c r="B108" s="2">
        <v>21.121078796603189</v>
      </c>
      <c r="C108" s="2">
        <v>-2.1210787966031894</v>
      </c>
    </row>
    <row r="109" spans="1:3">
      <c r="A109" s="2">
        <v>84</v>
      </c>
      <c r="B109" s="2">
        <v>19.885198405821662</v>
      </c>
      <c r="C109" s="2">
        <v>1.1148015941783385</v>
      </c>
    </row>
    <row r="110" spans="1:3">
      <c r="A110" s="2">
        <v>85</v>
      </c>
      <c r="B110" s="2">
        <v>36.087989709664569</v>
      </c>
      <c r="C110" s="2">
        <v>5.9120102903354308</v>
      </c>
    </row>
    <row r="111" spans="1:3">
      <c r="A111" s="2">
        <v>86</v>
      </c>
      <c r="B111" s="2">
        <v>26.834110791725355</v>
      </c>
      <c r="C111" s="2">
        <v>2.1658892082746455</v>
      </c>
    </row>
    <row r="112" spans="1:3">
      <c r="A112" s="2">
        <v>87</v>
      </c>
      <c r="B112" s="2">
        <v>25.458319413308182</v>
      </c>
      <c r="C112" s="2">
        <v>2.5416805866918182</v>
      </c>
    </row>
    <row r="113" spans="1:3">
      <c r="A113" s="2">
        <v>88</v>
      </c>
      <c r="B113" s="2">
        <v>23.452928590530604</v>
      </c>
      <c r="C113" s="2">
        <v>0.54707140946939603</v>
      </c>
    </row>
    <row r="114" spans="1:3">
      <c r="A114" s="2">
        <v>89</v>
      </c>
      <c r="B114" s="2">
        <v>20.491479352242788</v>
      </c>
      <c r="C114" s="2">
        <v>1.5085206477572122</v>
      </c>
    </row>
    <row r="115" spans="1:3">
      <c r="A115" s="2">
        <v>90</v>
      </c>
      <c r="B115" s="2">
        <v>33.243132961073123</v>
      </c>
      <c r="C115" s="2">
        <v>3.7568670389268775</v>
      </c>
    </row>
    <row r="116" spans="1:3">
      <c r="A116" s="2">
        <v>91</v>
      </c>
      <c r="B116" s="2">
        <v>35.505027261182711</v>
      </c>
      <c r="C116" s="2">
        <v>1.4949727388172889</v>
      </c>
    </row>
    <row r="117" spans="1:3">
      <c r="A117" s="2">
        <v>92</v>
      </c>
      <c r="B117" s="2">
        <v>32.683489010530543</v>
      </c>
      <c r="C117" s="2">
        <v>2.3165109894694567</v>
      </c>
    </row>
    <row r="118" spans="1:3">
      <c r="A118" s="2">
        <v>93</v>
      </c>
      <c r="B118" s="2">
        <v>26.227829845304228</v>
      </c>
      <c r="C118" s="2">
        <v>1.7721701546957718</v>
      </c>
    </row>
    <row r="119" spans="1:3">
      <c r="A119" s="2">
        <v>94</v>
      </c>
      <c r="B119" s="2">
        <v>25.341726923611809</v>
      </c>
      <c r="C119" s="2">
        <v>1.6582730763881912</v>
      </c>
    </row>
    <row r="120" spans="1:3">
      <c r="A120" s="2">
        <v>95</v>
      </c>
      <c r="B120" s="2">
        <v>21.354263775995932</v>
      </c>
      <c r="C120" s="2">
        <v>0.64573622400406805</v>
      </c>
    </row>
    <row r="121" spans="1:3">
      <c r="A121" s="2">
        <v>96</v>
      </c>
      <c r="B121" s="2">
        <v>19.955153899639484</v>
      </c>
      <c r="C121" s="2">
        <v>-1.9551538996394839</v>
      </c>
    </row>
    <row r="122" spans="1:3">
      <c r="A122" s="2">
        <v>97</v>
      </c>
      <c r="B122" s="2">
        <v>24.05920953695173</v>
      </c>
      <c r="C122" s="2">
        <v>-5.9209536951730257E-2</v>
      </c>
    </row>
    <row r="123" spans="1:3">
      <c r="A123" s="2">
        <v>98</v>
      </c>
      <c r="B123" s="2">
        <v>22.356959187384721</v>
      </c>
      <c r="C123" s="2">
        <v>0.64304081261527912</v>
      </c>
    </row>
    <row r="124" spans="1:3">
      <c r="A124" s="2">
        <v>99</v>
      </c>
      <c r="B124" s="2">
        <v>20.281612870789321</v>
      </c>
      <c r="C124" s="2">
        <v>-0.28161287078932062</v>
      </c>
    </row>
    <row r="125" spans="1:3">
      <c r="A125" s="2">
        <v>100</v>
      </c>
      <c r="B125" s="2">
        <v>25.248452931854715</v>
      </c>
      <c r="C125" s="2">
        <v>0.75154706814528538</v>
      </c>
    </row>
    <row r="126" spans="1:3">
      <c r="A126" s="2">
        <v>101</v>
      </c>
      <c r="B126" s="2">
        <v>23.709432067862618</v>
      </c>
      <c r="C126" s="2">
        <v>1.2905679321373817</v>
      </c>
    </row>
    <row r="127" spans="1:3">
      <c r="A127" s="2">
        <v>102</v>
      </c>
      <c r="B127" s="2">
        <v>21.074441800724642</v>
      </c>
      <c r="C127" s="2">
        <v>-7.4441800724642349E-2</v>
      </c>
    </row>
    <row r="128" spans="1:3" ht="15.75" thickBot="1">
      <c r="A128" s="3">
        <v>103</v>
      </c>
      <c r="B128" s="3">
        <v>19.931835401700209</v>
      </c>
      <c r="C128" s="3">
        <v>6.8164598299791379E-2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0"/>
  <sheetViews>
    <sheetView tabSelected="1" workbookViewId="0">
      <selection sqref="A1:I130"/>
    </sheetView>
  </sheetViews>
  <sheetFormatPr defaultRowHeight="15"/>
  <cols>
    <col min="1" max="1" width="18.5703125" customWidth="1"/>
  </cols>
  <sheetData>
    <row r="1" spans="1:9">
      <c r="A1" t="s">
        <v>139</v>
      </c>
    </row>
    <row r="2" spans="1:9" ht="15.75" thickBot="1"/>
    <row r="3" spans="1:9">
      <c r="A3" s="5" t="s">
        <v>140</v>
      </c>
      <c r="B3" s="5"/>
    </row>
    <row r="4" spans="1:9">
      <c r="A4" s="2" t="s">
        <v>141</v>
      </c>
      <c r="B4" s="2">
        <v>0.92961321346051795</v>
      </c>
    </row>
    <row r="5" spans="1:9">
      <c r="A5" s="2" t="s">
        <v>142</v>
      </c>
      <c r="B5" s="2">
        <v>0.86418072664039058</v>
      </c>
    </row>
    <row r="6" spans="1:9">
      <c r="A6" s="2" t="s">
        <v>143</v>
      </c>
      <c r="B6" s="2">
        <v>0.85159024597980426</v>
      </c>
    </row>
    <row r="7" spans="1:9">
      <c r="A7" s="2" t="s">
        <v>144</v>
      </c>
      <c r="B7" s="2">
        <v>1.7657123810335398</v>
      </c>
    </row>
    <row r="8" spans="1:9" ht="15.75" thickBot="1">
      <c r="A8" s="3" t="s">
        <v>145</v>
      </c>
      <c r="B8" s="3">
        <v>104</v>
      </c>
    </row>
    <row r="10" spans="1:9" ht="15.75" thickBot="1">
      <c r="A10" t="s">
        <v>146</v>
      </c>
    </row>
    <row r="11" spans="1:9">
      <c r="A11" s="4"/>
      <c r="B11" s="4" t="s">
        <v>151</v>
      </c>
      <c r="C11" s="4" t="s">
        <v>152</v>
      </c>
      <c r="D11" s="4" t="s">
        <v>153</v>
      </c>
      <c r="E11" s="4" t="s">
        <v>154</v>
      </c>
      <c r="F11" s="4" t="s">
        <v>155</v>
      </c>
    </row>
    <row r="12" spans="1:9">
      <c r="A12" s="2" t="s">
        <v>147</v>
      </c>
      <c r="B12" s="2">
        <v>3</v>
      </c>
      <c r="C12" s="2">
        <v>2003.5697769954897</v>
      </c>
      <c r="D12" s="2">
        <v>667.85659233182992</v>
      </c>
      <c r="E12" s="2">
        <v>321.31762757845763</v>
      </c>
      <c r="F12" s="2">
        <v>3.4519435084577953E-51</v>
      </c>
    </row>
    <row r="13" spans="1:9">
      <c r="A13" s="2" t="s">
        <v>148</v>
      </c>
      <c r="B13" s="2">
        <v>101</v>
      </c>
      <c r="C13" s="2">
        <v>314.89176146604837</v>
      </c>
      <c r="D13" s="2">
        <v>3.1177402125351321</v>
      </c>
      <c r="E13" s="2"/>
      <c r="F13" s="2"/>
    </row>
    <row r="14" spans="1:9" ht="15.75" thickBot="1">
      <c r="A14" s="3" t="s">
        <v>149</v>
      </c>
      <c r="B14" s="3">
        <v>104</v>
      </c>
      <c r="C14" s="3">
        <v>2318.4615384615381</v>
      </c>
      <c r="D14" s="3"/>
      <c r="E14" s="3"/>
      <c r="F14" s="3"/>
    </row>
    <row r="15" spans="1:9" ht="15.75" thickBot="1"/>
    <row r="16" spans="1:9">
      <c r="A16" s="4"/>
      <c r="B16" s="4" t="s">
        <v>156</v>
      </c>
      <c r="C16" s="4" t="s">
        <v>144</v>
      </c>
      <c r="D16" s="4" t="s">
        <v>157</v>
      </c>
      <c r="E16" s="4" t="s">
        <v>158</v>
      </c>
      <c r="F16" s="4" t="s">
        <v>159</v>
      </c>
      <c r="G16" s="4" t="s">
        <v>160</v>
      </c>
      <c r="H16" s="4" t="s">
        <v>161</v>
      </c>
      <c r="I16" s="4" t="s">
        <v>162</v>
      </c>
    </row>
    <row r="17" spans="1:9">
      <c r="A17" s="2" t="s">
        <v>150</v>
      </c>
      <c r="B17" s="2">
        <v>41.688353458693726</v>
      </c>
      <c r="C17" s="2">
        <v>1.2698289200802935</v>
      </c>
      <c r="D17" s="2">
        <v>32.829897633814873</v>
      </c>
      <c r="E17" s="2">
        <v>1.0671452005334405E-55</v>
      </c>
      <c r="F17" s="2">
        <v>39.169354528901856</v>
      </c>
      <c r="G17" s="2">
        <v>44.207352388485596</v>
      </c>
      <c r="H17" s="2">
        <v>39.169354528901856</v>
      </c>
      <c r="I17" s="2">
        <v>44.207352388485596</v>
      </c>
    </row>
    <row r="18" spans="1:9">
      <c r="A18" s="2" t="s">
        <v>167</v>
      </c>
      <c r="B18" s="2">
        <v>11.760046646980118</v>
      </c>
      <c r="C18" s="2">
        <v>0.58740551268851393</v>
      </c>
      <c r="D18" s="2">
        <v>20.020320533178534</v>
      </c>
      <c r="E18" s="2">
        <v>6.1277495010809455E-37</v>
      </c>
      <c r="F18" s="2">
        <v>10.594792151340934</v>
      </c>
      <c r="G18" s="2">
        <v>12.925301142619302</v>
      </c>
      <c r="H18" s="2">
        <v>10.594792151340934</v>
      </c>
      <c r="I18" s="2">
        <v>12.925301142619302</v>
      </c>
    </row>
    <row r="19" spans="1:9">
      <c r="A19" s="2" t="s">
        <v>138</v>
      </c>
      <c r="B19" s="2">
        <v>0</v>
      </c>
      <c r="C19" s="2">
        <v>0</v>
      </c>
      <c r="D19" s="2">
        <v>65535</v>
      </c>
      <c r="E19" s="2" t="e">
        <v>#NUM!</v>
      </c>
      <c r="F19" s="2">
        <v>0</v>
      </c>
      <c r="G19" s="2">
        <v>0</v>
      </c>
      <c r="H19" s="2">
        <v>0</v>
      </c>
      <c r="I19" s="2">
        <v>0</v>
      </c>
    </row>
    <row r="20" spans="1:9" ht="15.75" thickBot="1">
      <c r="A20" s="3" t="s">
        <v>2</v>
      </c>
      <c r="B20" s="3">
        <v>-4.6607797578831255E-3</v>
      </c>
      <c r="C20" s="3">
        <v>3.0660796746229265E-4</v>
      </c>
      <c r="D20" s="3">
        <v>-15.201104512903171</v>
      </c>
      <c r="E20" s="3">
        <v>7.4390639633042607E-28</v>
      </c>
      <c r="F20" s="3">
        <v>-5.2690074724120548E-3</v>
      </c>
      <c r="G20" s="3">
        <v>-4.0525520433541962E-3</v>
      </c>
      <c r="H20" s="3">
        <v>-5.2690074724120548E-3</v>
      </c>
      <c r="I20" s="3">
        <v>-4.0525520433541962E-3</v>
      </c>
    </row>
    <row r="24" spans="1:9">
      <c r="A24" t="s">
        <v>163</v>
      </c>
    </row>
    <row r="25" spans="1:9" ht="15.75" thickBot="1"/>
    <row r="26" spans="1:9">
      <c r="A26" s="4" t="s">
        <v>164</v>
      </c>
      <c r="B26" s="4" t="s">
        <v>168</v>
      </c>
      <c r="C26" s="4" t="s">
        <v>166</v>
      </c>
    </row>
    <row r="27" spans="1:9">
      <c r="A27" s="2">
        <v>1</v>
      </c>
      <c r="B27" s="2">
        <v>23.021930528371808</v>
      </c>
      <c r="C27" s="2">
        <v>-1.0219305283718079</v>
      </c>
    </row>
    <row r="28" spans="1:9">
      <c r="A28" s="2">
        <v>2</v>
      </c>
      <c r="B28" s="2">
        <v>20.738148447009078</v>
      </c>
      <c r="C28" s="2">
        <v>-0.73814844700907756</v>
      </c>
    </row>
    <row r="29" spans="1:9">
      <c r="A29" s="2">
        <v>3</v>
      </c>
      <c r="B29" s="2">
        <v>22.95201883200356</v>
      </c>
      <c r="C29" s="2">
        <v>1.0479811679964399</v>
      </c>
    </row>
    <row r="30" spans="1:9">
      <c r="A30" s="2">
        <v>4</v>
      </c>
      <c r="B30" s="2">
        <v>23.604527998107198</v>
      </c>
      <c r="C30" s="2">
        <v>-0.60452799810719782</v>
      </c>
    </row>
    <row r="31" spans="1:9">
      <c r="A31" s="2">
        <v>5</v>
      </c>
      <c r="B31" s="2">
        <v>22.392725261057585</v>
      </c>
      <c r="C31" s="2">
        <v>1.6072747389424151</v>
      </c>
    </row>
    <row r="32" spans="1:9">
      <c r="A32" s="2">
        <v>6</v>
      </c>
      <c r="B32" s="2">
        <v>18.011592288647449</v>
      </c>
      <c r="C32" s="2">
        <v>1.9884077113525507</v>
      </c>
    </row>
    <row r="33" spans="1:3">
      <c r="A33" s="2">
        <v>7</v>
      </c>
      <c r="B33" s="2">
        <v>24.699811241209733</v>
      </c>
      <c r="C33" s="2">
        <v>0.30018875879026652</v>
      </c>
    </row>
    <row r="34" spans="1:3">
      <c r="A34" s="2">
        <v>8</v>
      </c>
      <c r="B34" s="2">
        <v>24.326948860579083</v>
      </c>
      <c r="C34" s="2">
        <v>1.6730511394209167</v>
      </c>
    </row>
    <row r="35" spans="1:3">
      <c r="A35" s="2">
        <v>9</v>
      </c>
      <c r="B35" s="2">
        <v>22.019862880426935</v>
      </c>
      <c r="C35" s="2">
        <v>1.9801371195730653</v>
      </c>
    </row>
    <row r="36" spans="1:3">
      <c r="A36" s="2">
        <v>10</v>
      </c>
      <c r="B36" s="2">
        <v>19.596257406327712</v>
      </c>
      <c r="C36" s="2">
        <v>3.4037425936722876</v>
      </c>
    </row>
    <row r="37" spans="1:3">
      <c r="A37" s="2">
        <v>11</v>
      </c>
      <c r="B37" s="2">
        <v>26.051437370995838</v>
      </c>
      <c r="C37" s="2">
        <v>-3.0514373709958384</v>
      </c>
    </row>
    <row r="38" spans="1:3">
      <c r="A38" s="2">
        <v>12</v>
      </c>
      <c r="B38" s="2">
        <v>23.208361718687133</v>
      </c>
      <c r="C38" s="2">
        <v>-0.20836171868713294</v>
      </c>
    </row>
    <row r="39" spans="1:3">
      <c r="A39" s="2">
        <v>13</v>
      </c>
      <c r="B39" s="2">
        <v>26.261172460100582</v>
      </c>
      <c r="C39" s="2">
        <v>-0.26117246010058182</v>
      </c>
    </row>
    <row r="40" spans="1:3">
      <c r="A40" s="2">
        <v>14</v>
      </c>
      <c r="B40" s="2">
        <v>23.371489010213043</v>
      </c>
      <c r="C40" s="2">
        <v>-0.37148901021304326</v>
      </c>
    </row>
    <row r="41" spans="1:3">
      <c r="A41" s="2">
        <v>15</v>
      </c>
      <c r="B41" s="2">
        <v>21.647000499796285</v>
      </c>
      <c r="C41" s="2">
        <v>-1.6470004997962846</v>
      </c>
    </row>
    <row r="42" spans="1:3">
      <c r="A42" s="2">
        <v>16</v>
      </c>
      <c r="B42" s="2">
        <v>20.318678268799594</v>
      </c>
      <c r="C42" s="2">
        <v>-2.3186782687995944</v>
      </c>
    </row>
    <row r="43" spans="1:3">
      <c r="A43" s="2">
        <v>17</v>
      </c>
      <c r="B43" s="2">
        <v>26.424299751626489</v>
      </c>
      <c r="C43" s="2">
        <v>0.57570024837351141</v>
      </c>
    </row>
    <row r="44" spans="1:3">
      <c r="A44" s="2">
        <v>18</v>
      </c>
      <c r="B44" s="2">
        <v>26.517515346784151</v>
      </c>
      <c r="C44" s="2">
        <v>-1.5175153467841511</v>
      </c>
    </row>
    <row r="45" spans="1:3">
      <c r="A45" s="2">
        <v>19</v>
      </c>
      <c r="B45" s="2">
        <v>25.189193115787461</v>
      </c>
      <c r="C45" s="2">
        <v>-0.1891931157874609</v>
      </c>
    </row>
    <row r="46" spans="1:3">
      <c r="A46" s="2">
        <v>20</v>
      </c>
      <c r="B46" s="2">
        <v>21.949951184058691</v>
      </c>
      <c r="C46" s="2">
        <v>-2.9499511840586905</v>
      </c>
    </row>
    <row r="47" spans="1:3">
      <c r="A47" s="2">
        <v>21</v>
      </c>
      <c r="B47" s="2">
        <v>19.805992495432452</v>
      </c>
      <c r="C47" s="2">
        <v>0.19400750456754778</v>
      </c>
    </row>
    <row r="48" spans="1:3">
      <c r="A48" s="2">
        <v>22</v>
      </c>
      <c r="B48" s="2">
        <v>17.895072794700368</v>
      </c>
      <c r="C48" s="2">
        <v>0.10492720529963151</v>
      </c>
    </row>
    <row r="49" spans="1:3">
      <c r="A49" s="2">
        <v>23</v>
      </c>
      <c r="B49" s="2">
        <v>26.400995852837074</v>
      </c>
      <c r="C49" s="2">
        <v>-3.4009958528370738</v>
      </c>
    </row>
    <row r="50" spans="1:3">
      <c r="A50" s="2">
        <v>24</v>
      </c>
      <c r="B50" s="2">
        <v>25.888310079469932</v>
      </c>
      <c r="C50" s="2">
        <v>-1.8883100794699317</v>
      </c>
    </row>
    <row r="51" spans="1:3">
      <c r="A51" s="2">
        <v>25</v>
      </c>
      <c r="B51" s="2">
        <v>25.305712609734538</v>
      </c>
      <c r="C51" s="2">
        <v>-0.30571260973453818</v>
      </c>
    </row>
    <row r="52" spans="1:3">
      <c r="A52" s="2">
        <v>26</v>
      </c>
      <c r="B52" s="2">
        <v>25.235800913366294</v>
      </c>
      <c r="C52" s="2">
        <v>0.76419908663370606</v>
      </c>
    </row>
    <row r="53" spans="1:3">
      <c r="A53" s="2">
        <v>27</v>
      </c>
      <c r="B53" s="2">
        <v>21.880039487690443</v>
      </c>
      <c r="C53" s="2">
        <v>0.11996051230955729</v>
      </c>
    </row>
    <row r="54" spans="1:3">
      <c r="A54" s="2">
        <v>28</v>
      </c>
      <c r="B54" s="2">
        <v>19.33991451964414</v>
      </c>
      <c r="C54" s="2">
        <v>-1.3399145196441395</v>
      </c>
    </row>
    <row r="55" spans="1:3">
      <c r="A55" s="2">
        <v>29</v>
      </c>
      <c r="B55" s="2">
        <v>20.411893863957257</v>
      </c>
      <c r="C55" s="2">
        <v>0.58810613604274309</v>
      </c>
    </row>
    <row r="56" spans="1:3">
      <c r="A56" s="2">
        <v>30</v>
      </c>
      <c r="B56" s="2">
        <v>21.600392702217455</v>
      </c>
      <c r="C56" s="2">
        <v>2.3996072977825449</v>
      </c>
    </row>
    <row r="57" spans="1:3">
      <c r="A57" s="2">
        <v>31</v>
      </c>
      <c r="B57" s="2">
        <v>18.780620948698164</v>
      </c>
      <c r="C57" s="2">
        <v>-0.78062094869816434</v>
      </c>
    </row>
    <row r="58" spans="1:3">
      <c r="A58" s="2">
        <v>32</v>
      </c>
      <c r="B58" s="2">
        <v>21.20422642279739</v>
      </c>
      <c r="C58" s="2">
        <v>-2.2042264227973902</v>
      </c>
    </row>
    <row r="59" spans="1:3">
      <c r="A59" s="2">
        <v>33</v>
      </c>
      <c r="B59" s="2">
        <v>36.320034495453356</v>
      </c>
      <c r="C59" s="2">
        <v>-1.3200344954533563</v>
      </c>
    </row>
    <row r="60" spans="1:3">
      <c r="A60" s="2">
        <v>34</v>
      </c>
      <c r="B60" s="2">
        <v>27.49627909593961</v>
      </c>
      <c r="C60" s="2">
        <v>1.5037209040603905</v>
      </c>
    </row>
    <row r="61" spans="1:3">
      <c r="A61" s="2">
        <v>35</v>
      </c>
      <c r="B61" s="2">
        <v>25.608663293996944</v>
      </c>
      <c r="C61" s="2">
        <v>2.3913367060030559</v>
      </c>
    </row>
    <row r="62" spans="1:3">
      <c r="A62" s="2">
        <v>36</v>
      </c>
      <c r="B62" s="2">
        <v>22.252901868321093</v>
      </c>
      <c r="C62" s="2">
        <v>-1.2529018683210928</v>
      </c>
    </row>
    <row r="63" spans="1:3">
      <c r="A63" s="2">
        <v>37</v>
      </c>
      <c r="B63" s="2">
        <v>21.740216094953947</v>
      </c>
      <c r="C63" s="2">
        <v>-1.7402160949539471</v>
      </c>
    </row>
    <row r="64" spans="1:3">
      <c r="A64" s="2">
        <v>38</v>
      </c>
      <c r="B64" s="2">
        <v>35.85395651966504</v>
      </c>
      <c r="C64" s="2">
        <v>-0.85395651966504005</v>
      </c>
    </row>
    <row r="65" spans="1:3">
      <c r="A65" s="2">
        <v>39</v>
      </c>
      <c r="B65" s="2">
        <v>33.77990952740705</v>
      </c>
      <c r="C65" s="2">
        <v>-3.7799095274070496</v>
      </c>
    </row>
    <row r="66" spans="1:3">
      <c r="A66" s="2">
        <v>40</v>
      </c>
      <c r="B66" s="2">
        <v>27.030201120151297</v>
      </c>
      <c r="C66" s="2">
        <v>-1.0302011201512968</v>
      </c>
    </row>
    <row r="67" spans="1:3">
      <c r="A67" s="2">
        <v>41</v>
      </c>
      <c r="B67" s="2">
        <v>24.886242431525059</v>
      </c>
      <c r="C67" s="2">
        <v>1.1137575684749415</v>
      </c>
    </row>
    <row r="68" spans="1:3">
      <c r="A68" s="2">
        <v>42</v>
      </c>
      <c r="B68" s="2">
        <v>23.348185111423629</v>
      </c>
      <c r="C68" s="2">
        <v>0.65181488857637149</v>
      </c>
    </row>
    <row r="69" spans="1:3">
      <c r="A69" s="2">
        <v>43</v>
      </c>
      <c r="B69" s="2">
        <v>21.20422642279739</v>
      </c>
      <c r="C69" s="2">
        <v>-0.20422642279739023</v>
      </c>
    </row>
    <row r="70" spans="1:3">
      <c r="A70" s="2">
        <v>44</v>
      </c>
      <c r="B70" s="2">
        <v>22.322813564689341</v>
      </c>
      <c r="C70" s="2">
        <v>-0.32281356468934064</v>
      </c>
    </row>
    <row r="71" spans="1:3">
      <c r="A71" s="2">
        <v>45</v>
      </c>
      <c r="B71" s="2">
        <v>22.439333058636418</v>
      </c>
      <c r="C71" s="2">
        <v>-1.4393330586364179</v>
      </c>
    </row>
    <row r="72" spans="1:3">
      <c r="A72" s="2">
        <v>46</v>
      </c>
      <c r="B72" s="2">
        <v>21.41396151190213</v>
      </c>
      <c r="C72" s="2">
        <v>-1.41396151190213</v>
      </c>
    </row>
    <row r="73" spans="1:3">
      <c r="A73" s="2">
        <v>47</v>
      </c>
      <c r="B73" s="2">
        <v>26.028133472206424</v>
      </c>
      <c r="C73" s="2">
        <v>-2.0281334722064237</v>
      </c>
    </row>
    <row r="74" spans="1:3">
      <c r="A74" s="2">
        <v>48</v>
      </c>
      <c r="B74" s="2">
        <v>22.718979844109406</v>
      </c>
      <c r="C74" s="2">
        <v>0.28102015589059448</v>
      </c>
    </row>
    <row r="75" spans="1:3">
      <c r="A75" s="2">
        <v>49</v>
      </c>
      <c r="B75" s="2">
        <v>20.99449133369265</v>
      </c>
      <c r="C75" s="2">
        <v>-2.9944913336926504</v>
      </c>
    </row>
    <row r="76" spans="1:3">
      <c r="A76" s="2">
        <v>50</v>
      </c>
      <c r="B76" s="2">
        <v>19.1301794305394</v>
      </c>
      <c r="C76" s="2">
        <v>-0.13017943053939973</v>
      </c>
    </row>
    <row r="77" spans="1:3">
      <c r="A77" s="2">
        <v>51</v>
      </c>
      <c r="B77" s="2">
        <v>33.640086134670554</v>
      </c>
      <c r="C77" s="2">
        <v>-5.640086134670554</v>
      </c>
    </row>
    <row r="78" spans="1:3">
      <c r="A78" s="2">
        <v>52</v>
      </c>
      <c r="B78" s="2">
        <v>27.146720614098374</v>
      </c>
      <c r="C78" s="2">
        <v>0.85327938590162589</v>
      </c>
    </row>
    <row r="79" spans="1:3">
      <c r="A79" s="2">
        <v>53</v>
      </c>
      <c r="B79" s="2">
        <v>25.445536002471034</v>
      </c>
      <c r="C79" s="2">
        <v>-2.4455360024710338</v>
      </c>
    </row>
    <row r="80" spans="1:3">
      <c r="A80" s="2">
        <v>54</v>
      </c>
      <c r="B80" s="2">
        <v>21.647000499796285</v>
      </c>
      <c r="C80" s="2">
        <v>-0.6470004997962846</v>
      </c>
    </row>
    <row r="81" spans="1:3">
      <c r="A81" s="2">
        <v>55</v>
      </c>
      <c r="B81" s="2">
        <v>23.11514612352947</v>
      </c>
      <c r="C81" s="2">
        <v>1.8848538764705296</v>
      </c>
    </row>
    <row r="82" spans="1:3">
      <c r="A82" s="2">
        <v>56</v>
      </c>
      <c r="B82" s="2">
        <v>21.41396151190213</v>
      </c>
      <c r="C82" s="2">
        <v>-0.41396151190213004</v>
      </c>
    </row>
    <row r="83" spans="1:3">
      <c r="A83" s="2">
        <v>57</v>
      </c>
      <c r="B83" s="2">
        <v>21.530481005849207</v>
      </c>
      <c r="C83" s="2">
        <v>-0.53048100584920732</v>
      </c>
    </row>
    <row r="84" spans="1:3">
      <c r="A84" s="2">
        <v>58</v>
      </c>
      <c r="B84" s="2">
        <v>21.949951184058691</v>
      </c>
      <c r="C84" s="2">
        <v>-1.9499511840586905</v>
      </c>
    </row>
    <row r="85" spans="1:3">
      <c r="A85" s="2">
        <v>59</v>
      </c>
      <c r="B85" s="2">
        <v>17.195955831017901</v>
      </c>
      <c r="C85" s="2">
        <v>0.80404416898209874</v>
      </c>
    </row>
    <row r="86" spans="1:3">
      <c r="A86" s="2">
        <v>60</v>
      </c>
      <c r="B86" s="2">
        <v>16.496838867335434</v>
      </c>
      <c r="C86" s="2">
        <v>0.50316113266456597</v>
      </c>
    </row>
    <row r="87" spans="1:3">
      <c r="A87" s="2">
        <v>61</v>
      </c>
      <c r="B87" s="2">
        <v>16.357015474598938</v>
      </c>
      <c r="C87" s="2">
        <v>1.6429845254010615</v>
      </c>
    </row>
    <row r="88" spans="1:3">
      <c r="A88" s="2">
        <v>62</v>
      </c>
      <c r="B88" s="2">
        <v>36.80941637003108</v>
      </c>
      <c r="C88" s="2">
        <v>0.19058362996891987</v>
      </c>
    </row>
    <row r="89" spans="1:3">
      <c r="A89" s="2">
        <v>63</v>
      </c>
      <c r="B89" s="2">
        <v>31.07665726783484</v>
      </c>
      <c r="C89" s="2">
        <v>-2.0766572678348396</v>
      </c>
    </row>
    <row r="90" spans="1:3">
      <c r="A90" s="2">
        <v>64</v>
      </c>
      <c r="B90" s="2">
        <v>20.015727584537192</v>
      </c>
      <c r="C90" s="2">
        <v>-1.572758453719203E-2</v>
      </c>
    </row>
    <row r="91" spans="1:3">
      <c r="A91" s="2">
        <v>65</v>
      </c>
      <c r="B91" s="2">
        <v>17.592122110437966</v>
      </c>
      <c r="C91" s="2">
        <v>-0.59212211043796614</v>
      </c>
    </row>
    <row r="92" spans="1:3">
      <c r="A92" s="2">
        <v>66</v>
      </c>
      <c r="B92" s="2">
        <v>21.017795232482065</v>
      </c>
      <c r="C92" s="2">
        <v>0.98220476751793484</v>
      </c>
    </row>
    <row r="93" spans="1:3">
      <c r="A93" s="2">
        <v>67</v>
      </c>
      <c r="B93" s="2">
        <v>23.464704605370706</v>
      </c>
      <c r="C93" s="2">
        <v>-0.46470460537070579</v>
      </c>
    </row>
    <row r="94" spans="1:3">
      <c r="A94" s="2">
        <v>68</v>
      </c>
      <c r="B94" s="2">
        <v>20.435197762746675</v>
      </c>
      <c r="C94" s="2">
        <v>-2.4351977627466752</v>
      </c>
    </row>
    <row r="95" spans="1:3">
      <c r="A95" s="2">
        <v>69</v>
      </c>
      <c r="B95" s="2">
        <v>18.081503985015694</v>
      </c>
      <c r="C95" s="2">
        <v>0.91849601498430644</v>
      </c>
    </row>
    <row r="96" spans="1:3">
      <c r="A96" s="2">
        <v>70</v>
      </c>
      <c r="B96" s="2">
        <v>26.400995852837074</v>
      </c>
      <c r="C96" s="2">
        <v>0.59900414716292616</v>
      </c>
    </row>
    <row r="97" spans="1:3">
      <c r="A97" s="2">
        <v>71</v>
      </c>
      <c r="B97" s="2">
        <v>24.956154127893306</v>
      </c>
      <c r="C97" s="2">
        <v>-0.95615412789330634</v>
      </c>
    </row>
    <row r="98" spans="1:3">
      <c r="A98" s="2">
        <v>72</v>
      </c>
      <c r="B98" s="2">
        <v>20.318678268799594</v>
      </c>
      <c r="C98" s="2">
        <v>1.6813217312004056</v>
      </c>
    </row>
    <row r="99" spans="1:3">
      <c r="A99" s="2">
        <v>73</v>
      </c>
      <c r="B99" s="2">
        <v>24.769722937577981</v>
      </c>
      <c r="C99" s="2">
        <v>2.2302770624220187</v>
      </c>
    </row>
    <row r="100" spans="1:3">
      <c r="A100" s="2">
        <v>74</v>
      </c>
      <c r="B100" s="2">
        <v>22.998626629582393</v>
      </c>
      <c r="C100" s="2">
        <v>-0.99862662958239312</v>
      </c>
    </row>
    <row r="101" spans="1:3">
      <c r="A101" s="2">
        <v>75</v>
      </c>
      <c r="B101" s="2">
        <v>24.047302075106096</v>
      </c>
      <c r="C101" s="2">
        <v>1.9526979248939043</v>
      </c>
    </row>
    <row r="102" spans="1:3">
      <c r="A102" s="2">
        <v>76</v>
      </c>
      <c r="B102" s="2">
        <v>17.708641604385047</v>
      </c>
      <c r="C102" s="2">
        <v>2.291358395614953</v>
      </c>
    </row>
    <row r="103" spans="1:3">
      <c r="A103" s="2">
        <v>77</v>
      </c>
      <c r="B103" s="2">
        <v>24.490076152104994</v>
      </c>
      <c r="C103" s="2">
        <v>0.50992384789500633</v>
      </c>
    </row>
    <row r="104" spans="1:3">
      <c r="A104" s="2">
        <v>78</v>
      </c>
      <c r="B104" s="2">
        <v>25.305712609734538</v>
      </c>
      <c r="C104" s="2">
        <v>-1.3057126097345382</v>
      </c>
    </row>
    <row r="105" spans="1:3">
      <c r="A105" s="2">
        <v>79</v>
      </c>
      <c r="B105" s="2">
        <v>23.767655289633108</v>
      </c>
      <c r="C105" s="2">
        <v>1.2323447103668919</v>
      </c>
    </row>
    <row r="106" spans="1:3">
      <c r="A106" s="2">
        <v>80</v>
      </c>
      <c r="B106" s="2">
        <v>26.004829573417009</v>
      </c>
      <c r="C106" s="2">
        <v>-4.8295734170089588E-3</v>
      </c>
    </row>
    <row r="107" spans="1:3">
      <c r="A107" s="2">
        <v>81</v>
      </c>
      <c r="B107" s="2">
        <v>24.886242431525059</v>
      </c>
      <c r="C107" s="2">
        <v>0.11375756847494145</v>
      </c>
    </row>
    <row r="108" spans="1:3">
      <c r="A108" s="2">
        <v>82</v>
      </c>
      <c r="B108" s="2">
        <v>22.928714933214145</v>
      </c>
      <c r="C108" s="2">
        <v>-1.9287149332141453</v>
      </c>
    </row>
    <row r="109" spans="1:3">
      <c r="A109" s="2">
        <v>83</v>
      </c>
      <c r="B109" s="2">
        <v>20.24876657243135</v>
      </c>
      <c r="C109" s="2">
        <v>0.75123342756864986</v>
      </c>
    </row>
    <row r="110" spans="1:3">
      <c r="A110" s="2">
        <v>84</v>
      </c>
      <c r="B110" s="2">
        <v>21.111010827639728</v>
      </c>
      <c r="C110" s="2">
        <v>-2.1110108276397277</v>
      </c>
    </row>
    <row r="111" spans="1:3">
      <c r="A111" s="2">
        <v>85</v>
      </c>
      <c r="B111" s="2">
        <v>19.8759041918007</v>
      </c>
      <c r="C111" s="2">
        <v>1.1240958081993</v>
      </c>
    </row>
    <row r="112" spans="1:3">
      <c r="A112" s="2">
        <v>86</v>
      </c>
      <c r="B112" s="2">
        <v>36.086995507559202</v>
      </c>
      <c r="C112" s="2">
        <v>5.9130044924407983</v>
      </c>
    </row>
    <row r="113" spans="1:3">
      <c r="A113" s="2">
        <v>87</v>
      </c>
      <c r="B113" s="2">
        <v>26.820466031046557</v>
      </c>
      <c r="C113" s="2">
        <v>2.179533968953443</v>
      </c>
    </row>
    <row r="114" spans="1:3">
      <c r="A114" s="2">
        <v>88</v>
      </c>
      <c r="B114" s="2">
        <v>25.445536002471034</v>
      </c>
      <c r="C114" s="2">
        <v>2.5544639975289662</v>
      </c>
    </row>
    <row r="115" spans="1:3">
      <c r="A115" s="2">
        <v>89</v>
      </c>
      <c r="B115" s="2">
        <v>23.441400706581291</v>
      </c>
      <c r="C115" s="2">
        <v>0.55859929341870895</v>
      </c>
    </row>
    <row r="116" spans="1:3">
      <c r="A116" s="2">
        <v>90</v>
      </c>
      <c r="B116" s="2">
        <v>20.481805560325505</v>
      </c>
      <c r="C116" s="2">
        <v>1.5181944396744953</v>
      </c>
    </row>
    <row r="117" spans="1:3">
      <c r="A117" s="2">
        <v>91</v>
      </c>
      <c r="B117" s="2">
        <v>33.243919855250489</v>
      </c>
      <c r="C117" s="2">
        <v>3.7560801447495109</v>
      </c>
    </row>
    <row r="118" spans="1:3">
      <c r="A118" s="2">
        <v>92</v>
      </c>
      <c r="B118" s="2">
        <v>35.504398037823805</v>
      </c>
      <c r="C118" s="2">
        <v>1.4956019621761953</v>
      </c>
    </row>
    <row r="119" spans="1:3">
      <c r="A119" s="2">
        <v>93</v>
      </c>
      <c r="B119" s="2">
        <v>32.684626284304514</v>
      </c>
      <c r="C119" s="2">
        <v>2.3153737156954861</v>
      </c>
    </row>
    <row r="120" spans="1:3">
      <c r="A120" s="2">
        <v>94</v>
      </c>
      <c r="B120" s="2">
        <v>26.214564662521749</v>
      </c>
      <c r="C120" s="2">
        <v>1.7854353374782512</v>
      </c>
    </row>
    <row r="121" spans="1:3">
      <c r="A121" s="2">
        <v>95</v>
      </c>
      <c r="B121" s="2">
        <v>25.329016508523956</v>
      </c>
      <c r="C121" s="2">
        <v>1.6709834914760435</v>
      </c>
    </row>
    <row r="122" spans="1:3">
      <c r="A122" s="2">
        <v>96</v>
      </c>
      <c r="B122" s="2">
        <v>21.344049815533882</v>
      </c>
      <c r="C122" s="2">
        <v>0.65595018446611775</v>
      </c>
    </row>
    <row r="123" spans="1:3">
      <c r="A123" s="2">
        <v>97</v>
      </c>
      <c r="B123" s="2">
        <v>19.945815888168944</v>
      </c>
      <c r="C123" s="2">
        <v>-1.9458158881689442</v>
      </c>
    </row>
    <row r="124" spans="1:3">
      <c r="A124" s="2">
        <v>98</v>
      </c>
      <c r="B124" s="2">
        <v>24.047302075106096</v>
      </c>
      <c r="C124" s="2">
        <v>-4.7302075106095742E-2</v>
      </c>
    </row>
    <row r="125" spans="1:3">
      <c r="A125" s="2">
        <v>99</v>
      </c>
      <c r="B125" s="2">
        <v>22.346117463478755</v>
      </c>
      <c r="C125" s="2">
        <v>0.65388253652124462</v>
      </c>
    </row>
    <row r="126" spans="1:3">
      <c r="A126" s="2">
        <v>100</v>
      </c>
      <c r="B126" s="2">
        <v>20.272070471220765</v>
      </c>
      <c r="C126" s="2">
        <v>-0.27207047122076489</v>
      </c>
    </row>
    <row r="127" spans="1:3">
      <c r="A127" s="2">
        <v>101</v>
      </c>
      <c r="B127" s="2">
        <v>25.235800913366294</v>
      </c>
      <c r="C127" s="2">
        <v>0.76419908663370606</v>
      </c>
    </row>
    <row r="128" spans="1:3">
      <c r="A128" s="2">
        <v>102</v>
      </c>
      <c r="B128" s="2">
        <v>23.69774359326486</v>
      </c>
      <c r="C128" s="2">
        <v>1.3022564067351396</v>
      </c>
    </row>
    <row r="129" spans="1:3">
      <c r="A129" s="2">
        <v>103</v>
      </c>
      <c r="B129" s="2">
        <v>21.064403030060895</v>
      </c>
      <c r="C129" s="2">
        <v>-6.440303006089465E-2</v>
      </c>
    </row>
    <row r="130" spans="1:3" ht="15.75" thickBot="1">
      <c r="A130" s="3">
        <v>104</v>
      </c>
      <c r="B130" s="3">
        <v>19.922511989379529</v>
      </c>
      <c r="C130" s="3">
        <v>7.7488010620470504E-2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2"/>
  <sheetViews>
    <sheetView zoomScale="130" zoomScaleNormal="130" workbookViewId="0">
      <pane ySplit="1" topLeftCell="A89" activePane="bottomLeft" state="frozen"/>
      <selection pane="bottomLeft" activeCell="K7" sqref="K7"/>
    </sheetView>
  </sheetViews>
  <sheetFormatPr defaultColWidth="8.85546875" defaultRowHeight="15"/>
  <cols>
    <col min="4" max="4" width="11.7109375" customWidth="1"/>
    <col min="7" max="7" width="15.28515625" customWidth="1"/>
  </cols>
  <sheetData>
    <row r="1" spans="1:9">
      <c r="A1" t="s">
        <v>0</v>
      </c>
      <c r="B1" t="s">
        <v>1</v>
      </c>
      <c r="C1" t="s">
        <v>135</v>
      </c>
      <c r="D1" t="s">
        <v>167</v>
      </c>
      <c r="E1" t="s">
        <v>134</v>
      </c>
      <c r="F1" t="s">
        <v>167</v>
      </c>
      <c r="G1" t="s">
        <v>138</v>
      </c>
      <c r="H1" t="s">
        <v>2</v>
      </c>
      <c r="I1" t="s">
        <v>3</v>
      </c>
    </row>
    <row r="2" spans="1:9">
      <c r="A2" t="s">
        <v>4</v>
      </c>
      <c r="B2" t="s">
        <v>5</v>
      </c>
      <c r="C2" t="s">
        <v>136</v>
      </c>
      <c r="D2">
        <f>IF(C2="No",0,1)</f>
        <v>0</v>
      </c>
      <c r="E2" t="s">
        <v>136</v>
      </c>
      <c r="F2">
        <f>IF(E2="No",0,1)</f>
        <v>0</v>
      </c>
      <c r="G2">
        <f>IF(E2="No",0,1)</f>
        <v>0</v>
      </c>
      <c r="H2">
        <v>4005</v>
      </c>
      <c r="I2">
        <v>22</v>
      </c>
    </row>
    <row r="3" spans="1:9">
      <c r="A3" t="s">
        <v>4</v>
      </c>
      <c r="B3" t="s">
        <v>6</v>
      </c>
      <c r="C3" t="s">
        <v>136</v>
      </c>
      <c r="D3">
        <f t="shared" ref="D3:F66" si="0">IF(C3="No",0,1)</f>
        <v>0</v>
      </c>
      <c r="E3" t="s">
        <v>136</v>
      </c>
      <c r="F3">
        <f t="shared" si="0"/>
        <v>0</v>
      </c>
      <c r="G3">
        <f t="shared" ref="G3:G62" si="1">IF(E3="No",0,1)</f>
        <v>0</v>
      </c>
      <c r="H3">
        <v>4495</v>
      </c>
      <c r="I3">
        <v>20</v>
      </c>
    </row>
    <row r="4" spans="1:9">
      <c r="A4" t="s">
        <v>7</v>
      </c>
      <c r="B4" t="s">
        <v>8</v>
      </c>
      <c r="C4" t="s">
        <v>136</v>
      </c>
      <c r="D4">
        <f t="shared" si="0"/>
        <v>0</v>
      </c>
      <c r="E4" t="s">
        <v>136</v>
      </c>
      <c r="F4">
        <f t="shared" si="0"/>
        <v>0</v>
      </c>
      <c r="G4">
        <f t="shared" si="1"/>
        <v>0</v>
      </c>
      <c r="H4">
        <v>4020</v>
      </c>
      <c r="I4">
        <v>24</v>
      </c>
    </row>
    <row r="5" spans="1:9">
      <c r="A5" t="s">
        <v>9</v>
      </c>
      <c r="B5" t="s">
        <v>10</v>
      </c>
      <c r="C5" t="s">
        <v>136</v>
      </c>
      <c r="D5">
        <f t="shared" si="0"/>
        <v>0</v>
      </c>
      <c r="E5" t="s">
        <v>136</v>
      </c>
      <c r="F5">
        <f t="shared" si="0"/>
        <v>0</v>
      </c>
      <c r="G5">
        <f t="shared" si="1"/>
        <v>0</v>
      </c>
      <c r="H5">
        <v>3880</v>
      </c>
      <c r="I5">
        <v>23</v>
      </c>
    </row>
    <row r="6" spans="1:9">
      <c r="A6" t="s">
        <v>9</v>
      </c>
      <c r="B6" t="s">
        <v>11</v>
      </c>
      <c r="C6" t="s">
        <v>136</v>
      </c>
      <c r="D6">
        <f t="shared" si="0"/>
        <v>0</v>
      </c>
      <c r="E6" t="s">
        <v>136</v>
      </c>
      <c r="F6">
        <f t="shared" si="0"/>
        <v>0</v>
      </c>
      <c r="G6">
        <f t="shared" si="1"/>
        <v>0</v>
      </c>
      <c r="H6">
        <v>4140</v>
      </c>
      <c r="I6">
        <v>24</v>
      </c>
    </row>
    <row r="7" spans="1:9">
      <c r="A7" t="s">
        <v>9</v>
      </c>
      <c r="B7" t="s">
        <v>12</v>
      </c>
      <c r="C7" t="s">
        <v>136</v>
      </c>
      <c r="D7">
        <f t="shared" si="0"/>
        <v>0</v>
      </c>
      <c r="E7" t="s">
        <v>136</v>
      </c>
      <c r="F7">
        <f t="shared" si="0"/>
        <v>0</v>
      </c>
      <c r="G7">
        <f t="shared" si="1"/>
        <v>0</v>
      </c>
      <c r="H7">
        <v>5080</v>
      </c>
      <c r="I7">
        <v>20</v>
      </c>
    </row>
    <row r="8" spans="1:9">
      <c r="A8" t="s">
        <v>13</v>
      </c>
      <c r="B8" t="s">
        <v>14</v>
      </c>
      <c r="C8" t="s">
        <v>136</v>
      </c>
      <c r="D8">
        <f t="shared" si="0"/>
        <v>0</v>
      </c>
      <c r="E8" t="s">
        <v>136</v>
      </c>
      <c r="F8">
        <f t="shared" si="0"/>
        <v>0</v>
      </c>
      <c r="G8">
        <f t="shared" si="1"/>
        <v>0</v>
      </c>
      <c r="H8">
        <v>3645</v>
      </c>
      <c r="I8">
        <v>25</v>
      </c>
    </row>
    <row r="9" spans="1:9">
      <c r="A9" t="s">
        <v>13</v>
      </c>
      <c r="B9" t="s">
        <v>15</v>
      </c>
      <c r="C9" t="s">
        <v>136</v>
      </c>
      <c r="D9">
        <f t="shared" si="0"/>
        <v>0</v>
      </c>
      <c r="E9" t="s">
        <v>136</v>
      </c>
      <c r="F9">
        <f t="shared" si="0"/>
        <v>0</v>
      </c>
      <c r="G9">
        <f t="shared" si="1"/>
        <v>0</v>
      </c>
      <c r="H9">
        <v>3725</v>
      </c>
      <c r="I9">
        <v>26</v>
      </c>
    </row>
    <row r="10" spans="1:9">
      <c r="A10" t="s">
        <v>13</v>
      </c>
      <c r="B10" t="s">
        <v>16</v>
      </c>
      <c r="C10" t="s">
        <v>136</v>
      </c>
      <c r="D10">
        <f t="shared" si="0"/>
        <v>0</v>
      </c>
      <c r="E10" t="s">
        <v>136</v>
      </c>
      <c r="F10">
        <f t="shared" si="0"/>
        <v>0</v>
      </c>
      <c r="G10">
        <f t="shared" si="1"/>
        <v>0</v>
      </c>
      <c r="H10">
        <v>4220</v>
      </c>
      <c r="I10">
        <v>24</v>
      </c>
    </row>
    <row r="11" spans="1:9">
      <c r="A11" t="s">
        <v>13</v>
      </c>
      <c r="B11" t="s">
        <v>17</v>
      </c>
      <c r="C11" t="s">
        <v>136</v>
      </c>
      <c r="D11">
        <f t="shared" si="0"/>
        <v>0</v>
      </c>
      <c r="E11" t="s">
        <v>136</v>
      </c>
      <c r="F11">
        <f t="shared" si="0"/>
        <v>0</v>
      </c>
      <c r="G11">
        <f t="shared" si="1"/>
        <v>0</v>
      </c>
      <c r="H11">
        <v>4740</v>
      </c>
      <c r="I11">
        <v>23</v>
      </c>
    </row>
    <row r="12" spans="1:9">
      <c r="A12" t="s">
        <v>18</v>
      </c>
      <c r="B12" t="s">
        <v>19</v>
      </c>
      <c r="C12" t="s">
        <v>137</v>
      </c>
      <c r="D12">
        <f t="shared" si="0"/>
        <v>1</v>
      </c>
      <c r="E12" t="s">
        <v>136</v>
      </c>
      <c r="F12">
        <f t="shared" si="0"/>
        <v>0</v>
      </c>
      <c r="G12">
        <f t="shared" si="1"/>
        <v>0</v>
      </c>
      <c r="H12">
        <v>3355</v>
      </c>
      <c r="I12">
        <v>23</v>
      </c>
    </row>
    <row r="13" spans="1:9">
      <c r="A13" t="s">
        <v>18</v>
      </c>
      <c r="B13" t="s">
        <v>20</v>
      </c>
      <c r="C13" t="s">
        <v>137</v>
      </c>
      <c r="D13">
        <f t="shared" si="0"/>
        <v>1</v>
      </c>
      <c r="E13" t="s">
        <v>136</v>
      </c>
      <c r="F13">
        <f t="shared" si="0"/>
        <v>0</v>
      </c>
      <c r="G13">
        <f t="shared" si="1"/>
        <v>0</v>
      </c>
      <c r="H13">
        <v>3965</v>
      </c>
      <c r="I13">
        <v>23</v>
      </c>
    </row>
    <row r="14" spans="1:9">
      <c r="A14" t="s">
        <v>21</v>
      </c>
      <c r="B14" t="s">
        <v>22</v>
      </c>
      <c r="C14" t="s">
        <v>137</v>
      </c>
      <c r="D14">
        <f t="shared" si="0"/>
        <v>1</v>
      </c>
      <c r="E14" t="s">
        <v>136</v>
      </c>
      <c r="F14">
        <f t="shared" si="0"/>
        <v>0</v>
      </c>
      <c r="G14">
        <f t="shared" si="1"/>
        <v>0</v>
      </c>
      <c r="H14">
        <v>3310</v>
      </c>
      <c r="I14">
        <v>26</v>
      </c>
    </row>
    <row r="15" spans="1:9">
      <c r="A15" t="s">
        <v>23</v>
      </c>
      <c r="B15" t="s">
        <v>24</v>
      </c>
      <c r="C15" t="s">
        <v>137</v>
      </c>
      <c r="D15">
        <f t="shared" si="0"/>
        <v>1</v>
      </c>
      <c r="E15" t="s">
        <v>136</v>
      </c>
      <c r="F15">
        <f t="shared" si="0"/>
        <v>0</v>
      </c>
      <c r="G15">
        <f t="shared" si="1"/>
        <v>0</v>
      </c>
      <c r="H15">
        <v>3930</v>
      </c>
      <c r="I15">
        <v>23</v>
      </c>
    </row>
    <row r="16" spans="1:9">
      <c r="A16" t="s">
        <v>23</v>
      </c>
      <c r="B16" t="s">
        <v>25</v>
      </c>
      <c r="C16" t="s">
        <v>137</v>
      </c>
      <c r="D16">
        <f t="shared" si="0"/>
        <v>1</v>
      </c>
      <c r="E16" t="s">
        <v>136</v>
      </c>
      <c r="F16">
        <f t="shared" si="0"/>
        <v>0</v>
      </c>
      <c r="G16">
        <f t="shared" si="1"/>
        <v>0</v>
      </c>
      <c r="H16">
        <v>4300</v>
      </c>
      <c r="I16">
        <v>20</v>
      </c>
    </row>
    <row r="17" spans="1:9">
      <c r="A17" t="s">
        <v>23</v>
      </c>
      <c r="B17" t="s">
        <v>26</v>
      </c>
      <c r="C17" t="s">
        <v>137</v>
      </c>
      <c r="D17">
        <f t="shared" si="0"/>
        <v>1</v>
      </c>
      <c r="E17" t="s">
        <v>136</v>
      </c>
      <c r="F17">
        <f t="shared" si="0"/>
        <v>0</v>
      </c>
      <c r="G17">
        <f t="shared" si="1"/>
        <v>0</v>
      </c>
      <c r="H17">
        <v>4585</v>
      </c>
      <c r="I17">
        <v>18</v>
      </c>
    </row>
    <row r="18" spans="1:9">
      <c r="A18" t="s">
        <v>27</v>
      </c>
      <c r="B18" t="s">
        <v>28</v>
      </c>
      <c r="C18" t="s">
        <v>137</v>
      </c>
      <c r="D18">
        <f t="shared" si="0"/>
        <v>1</v>
      </c>
      <c r="E18" t="s">
        <v>136</v>
      </c>
      <c r="F18">
        <f t="shared" si="0"/>
        <v>0</v>
      </c>
      <c r="G18">
        <f t="shared" si="1"/>
        <v>0</v>
      </c>
      <c r="H18">
        <v>3275</v>
      </c>
      <c r="I18">
        <v>27</v>
      </c>
    </row>
    <row r="19" spans="1:9">
      <c r="A19" t="s">
        <v>29</v>
      </c>
      <c r="B19" t="s">
        <v>30</v>
      </c>
      <c r="C19" t="s">
        <v>137</v>
      </c>
      <c r="D19">
        <f t="shared" si="0"/>
        <v>1</v>
      </c>
      <c r="E19" t="s">
        <v>136</v>
      </c>
      <c r="F19">
        <f t="shared" si="0"/>
        <v>0</v>
      </c>
      <c r="G19">
        <f t="shared" si="1"/>
        <v>0</v>
      </c>
      <c r="H19">
        <v>3255</v>
      </c>
      <c r="I19">
        <v>25</v>
      </c>
    </row>
    <row r="20" spans="1:9">
      <c r="A20" t="s">
        <v>27</v>
      </c>
      <c r="B20" t="s">
        <v>31</v>
      </c>
      <c r="C20" t="s">
        <v>137</v>
      </c>
      <c r="D20">
        <f t="shared" si="0"/>
        <v>1</v>
      </c>
      <c r="E20" t="s">
        <v>136</v>
      </c>
      <c r="F20">
        <f t="shared" si="0"/>
        <v>0</v>
      </c>
      <c r="G20">
        <f t="shared" si="1"/>
        <v>0</v>
      </c>
      <c r="H20">
        <v>3540</v>
      </c>
      <c r="I20">
        <v>25</v>
      </c>
    </row>
    <row r="21" spans="1:9">
      <c r="A21" t="s">
        <v>27</v>
      </c>
      <c r="B21" t="s">
        <v>32</v>
      </c>
      <c r="C21" t="s">
        <v>137</v>
      </c>
      <c r="D21">
        <f t="shared" si="0"/>
        <v>1</v>
      </c>
      <c r="E21" t="s">
        <v>136</v>
      </c>
      <c r="F21">
        <f t="shared" si="0"/>
        <v>0</v>
      </c>
      <c r="G21">
        <f t="shared" si="1"/>
        <v>0</v>
      </c>
      <c r="H21">
        <v>4235</v>
      </c>
      <c r="I21">
        <v>19</v>
      </c>
    </row>
    <row r="22" spans="1:9">
      <c r="A22" t="s">
        <v>27</v>
      </c>
      <c r="B22" t="s">
        <v>33</v>
      </c>
      <c r="C22" t="s">
        <v>137</v>
      </c>
      <c r="D22">
        <f t="shared" si="0"/>
        <v>1</v>
      </c>
      <c r="E22" t="s">
        <v>136</v>
      </c>
      <c r="F22">
        <f t="shared" si="0"/>
        <v>0</v>
      </c>
      <c r="G22">
        <f t="shared" si="1"/>
        <v>0</v>
      </c>
      <c r="H22">
        <v>4695</v>
      </c>
      <c r="I22">
        <v>20</v>
      </c>
    </row>
    <row r="23" spans="1:9">
      <c r="A23" t="s">
        <v>34</v>
      </c>
      <c r="B23" t="s">
        <v>35</v>
      </c>
      <c r="C23" t="s">
        <v>137</v>
      </c>
      <c r="D23">
        <f t="shared" si="0"/>
        <v>1</v>
      </c>
      <c r="E23" t="s">
        <v>136</v>
      </c>
      <c r="F23">
        <f t="shared" si="0"/>
        <v>0</v>
      </c>
      <c r="G23">
        <f t="shared" si="1"/>
        <v>0</v>
      </c>
      <c r="H23">
        <v>5105</v>
      </c>
      <c r="I23">
        <v>18</v>
      </c>
    </row>
    <row r="24" spans="1:9">
      <c r="A24" t="s">
        <v>36</v>
      </c>
      <c r="B24" t="s">
        <v>37</v>
      </c>
      <c r="C24" t="s">
        <v>136</v>
      </c>
      <c r="D24">
        <f t="shared" si="0"/>
        <v>0</v>
      </c>
      <c r="E24" t="s">
        <v>136</v>
      </c>
      <c r="F24">
        <f t="shared" si="0"/>
        <v>0</v>
      </c>
      <c r="G24">
        <f t="shared" si="1"/>
        <v>0</v>
      </c>
      <c r="H24">
        <v>3280</v>
      </c>
      <c r="I24">
        <v>23</v>
      </c>
    </row>
    <row r="25" spans="1:9">
      <c r="A25" t="s">
        <v>38</v>
      </c>
      <c r="B25" t="s">
        <v>39</v>
      </c>
      <c r="C25" t="s">
        <v>137</v>
      </c>
      <c r="D25">
        <f t="shared" si="0"/>
        <v>1</v>
      </c>
      <c r="E25" t="s">
        <v>136</v>
      </c>
      <c r="F25">
        <f t="shared" si="0"/>
        <v>0</v>
      </c>
      <c r="G25">
        <f t="shared" si="1"/>
        <v>0</v>
      </c>
      <c r="H25">
        <v>3390</v>
      </c>
      <c r="I25">
        <v>24</v>
      </c>
    </row>
    <row r="26" spans="1:9">
      <c r="A26" t="s">
        <v>38</v>
      </c>
      <c r="B26" t="s">
        <v>40</v>
      </c>
      <c r="C26" t="s">
        <v>137</v>
      </c>
      <c r="D26">
        <f t="shared" si="0"/>
        <v>1</v>
      </c>
      <c r="E26" t="s">
        <v>136</v>
      </c>
      <c r="F26">
        <f t="shared" si="0"/>
        <v>0</v>
      </c>
      <c r="G26">
        <f t="shared" si="1"/>
        <v>0</v>
      </c>
      <c r="H26">
        <v>3515</v>
      </c>
      <c r="I26">
        <v>25</v>
      </c>
    </row>
    <row r="27" spans="1:9">
      <c r="A27" t="s">
        <v>38</v>
      </c>
      <c r="B27" t="s">
        <v>41</v>
      </c>
      <c r="C27" t="s">
        <v>137</v>
      </c>
      <c r="D27">
        <f t="shared" si="0"/>
        <v>1</v>
      </c>
      <c r="E27" t="s">
        <v>136</v>
      </c>
      <c r="F27">
        <f t="shared" si="0"/>
        <v>0</v>
      </c>
      <c r="G27">
        <f t="shared" si="1"/>
        <v>0</v>
      </c>
      <c r="H27">
        <v>3530</v>
      </c>
      <c r="I27">
        <v>26</v>
      </c>
    </row>
    <row r="28" spans="1:9">
      <c r="A28" t="s">
        <v>38</v>
      </c>
      <c r="B28" t="s">
        <v>42</v>
      </c>
      <c r="C28" t="s">
        <v>137</v>
      </c>
      <c r="D28">
        <f t="shared" si="0"/>
        <v>1</v>
      </c>
      <c r="E28" t="s">
        <v>136</v>
      </c>
      <c r="F28">
        <f t="shared" si="0"/>
        <v>0</v>
      </c>
      <c r="G28">
        <f t="shared" si="1"/>
        <v>0</v>
      </c>
      <c r="H28">
        <v>4250</v>
      </c>
      <c r="I28">
        <v>22</v>
      </c>
    </row>
    <row r="29" spans="1:9">
      <c r="A29" t="s">
        <v>38</v>
      </c>
      <c r="B29" t="s">
        <v>43</v>
      </c>
      <c r="C29" t="s">
        <v>137</v>
      </c>
      <c r="D29">
        <f t="shared" si="0"/>
        <v>1</v>
      </c>
      <c r="E29" t="s">
        <v>136</v>
      </c>
      <c r="F29">
        <f t="shared" si="0"/>
        <v>0</v>
      </c>
      <c r="G29">
        <f t="shared" si="1"/>
        <v>0</v>
      </c>
      <c r="H29">
        <v>4795</v>
      </c>
      <c r="I29">
        <v>18</v>
      </c>
    </row>
    <row r="30" spans="1:9">
      <c r="A30" t="s">
        <v>38</v>
      </c>
      <c r="B30" t="s">
        <v>44</v>
      </c>
      <c r="C30" t="s">
        <v>137</v>
      </c>
      <c r="D30">
        <f t="shared" si="0"/>
        <v>1</v>
      </c>
      <c r="E30" t="s">
        <v>136</v>
      </c>
      <c r="F30">
        <f t="shared" si="0"/>
        <v>0</v>
      </c>
      <c r="G30">
        <f t="shared" si="1"/>
        <v>0</v>
      </c>
      <c r="H30">
        <v>4565</v>
      </c>
      <c r="I30">
        <v>21</v>
      </c>
    </row>
    <row r="31" spans="1:9">
      <c r="A31" t="s">
        <v>45</v>
      </c>
      <c r="B31" t="s">
        <v>46</v>
      </c>
      <c r="C31" t="s">
        <v>136</v>
      </c>
      <c r="D31">
        <f t="shared" si="0"/>
        <v>0</v>
      </c>
      <c r="E31" t="s">
        <v>136</v>
      </c>
      <c r="F31">
        <f t="shared" si="0"/>
        <v>0</v>
      </c>
      <c r="G31">
        <f t="shared" si="1"/>
        <v>0</v>
      </c>
      <c r="H31">
        <v>4310</v>
      </c>
      <c r="I31">
        <v>24</v>
      </c>
    </row>
    <row r="32" spans="1:9">
      <c r="A32" t="s">
        <v>45</v>
      </c>
      <c r="B32" t="s">
        <v>47</v>
      </c>
      <c r="C32" t="s">
        <v>136</v>
      </c>
      <c r="D32">
        <f t="shared" si="0"/>
        <v>0</v>
      </c>
      <c r="E32" t="s">
        <v>136</v>
      </c>
      <c r="F32">
        <f t="shared" si="0"/>
        <v>0</v>
      </c>
      <c r="G32">
        <f t="shared" si="1"/>
        <v>0</v>
      </c>
      <c r="H32">
        <v>4915</v>
      </c>
      <c r="I32">
        <v>18</v>
      </c>
    </row>
    <row r="33" spans="1:9">
      <c r="A33" t="s">
        <v>48</v>
      </c>
      <c r="B33" t="s">
        <v>49</v>
      </c>
      <c r="C33" t="s">
        <v>137</v>
      </c>
      <c r="D33">
        <f t="shared" si="0"/>
        <v>1</v>
      </c>
      <c r="E33" t="s">
        <v>136</v>
      </c>
      <c r="F33">
        <f t="shared" si="0"/>
        <v>0</v>
      </c>
      <c r="G33">
        <f t="shared" si="1"/>
        <v>0</v>
      </c>
      <c r="H33">
        <v>4395</v>
      </c>
      <c r="I33">
        <v>19</v>
      </c>
    </row>
    <row r="34" spans="1:9">
      <c r="A34" t="s">
        <v>50</v>
      </c>
      <c r="B34" t="s">
        <v>51</v>
      </c>
      <c r="C34" t="s">
        <v>136</v>
      </c>
      <c r="D34">
        <f t="shared" si="0"/>
        <v>0</v>
      </c>
      <c r="E34" t="s">
        <v>137</v>
      </c>
      <c r="F34">
        <f t="shared" si="0"/>
        <v>1</v>
      </c>
      <c r="G34">
        <f t="shared" si="1"/>
        <v>1</v>
      </c>
      <c r="H34">
        <v>3675</v>
      </c>
      <c r="I34">
        <v>35</v>
      </c>
    </row>
    <row r="35" spans="1:9">
      <c r="A35" t="s">
        <v>50</v>
      </c>
      <c r="B35" t="s">
        <v>52</v>
      </c>
      <c r="C35" t="s">
        <v>136</v>
      </c>
      <c r="D35">
        <f t="shared" si="0"/>
        <v>0</v>
      </c>
      <c r="E35" t="s">
        <v>136</v>
      </c>
      <c r="F35">
        <f t="shared" si="0"/>
        <v>0</v>
      </c>
      <c r="G35">
        <f t="shared" si="1"/>
        <v>0</v>
      </c>
      <c r="H35">
        <v>3045</v>
      </c>
      <c r="I35">
        <v>29</v>
      </c>
    </row>
    <row r="36" spans="1:9">
      <c r="A36" t="s">
        <v>50</v>
      </c>
      <c r="B36" t="s">
        <v>51</v>
      </c>
      <c r="C36" t="s">
        <v>136</v>
      </c>
      <c r="D36">
        <f t="shared" si="0"/>
        <v>0</v>
      </c>
      <c r="E36" t="s">
        <v>136</v>
      </c>
      <c r="F36">
        <f t="shared" si="0"/>
        <v>0</v>
      </c>
      <c r="G36">
        <f t="shared" si="1"/>
        <v>0</v>
      </c>
      <c r="H36">
        <v>3450</v>
      </c>
      <c r="I36">
        <v>28</v>
      </c>
    </row>
    <row r="37" spans="1:9">
      <c r="A37" t="s">
        <v>50</v>
      </c>
      <c r="B37" t="s">
        <v>53</v>
      </c>
      <c r="C37" t="s">
        <v>136</v>
      </c>
      <c r="D37">
        <f t="shared" si="0"/>
        <v>0</v>
      </c>
      <c r="E37" t="s">
        <v>136</v>
      </c>
      <c r="F37">
        <f t="shared" si="0"/>
        <v>0</v>
      </c>
      <c r="G37">
        <f t="shared" si="1"/>
        <v>0</v>
      </c>
      <c r="H37">
        <v>4170</v>
      </c>
      <c r="I37">
        <v>21</v>
      </c>
    </row>
    <row r="38" spans="1:9">
      <c r="A38" t="s">
        <v>50</v>
      </c>
      <c r="B38" t="s">
        <v>54</v>
      </c>
      <c r="C38" t="s">
        <v>136</v>
      </c>
      <c r="D38">
        <f t="shared" si="0"/>
        <v>0</v>
      </c>
      <c r="E38" t="s">
        <v>136</v>
      </c>
      <c r="F38">
        <f t="shared" si="0"/>
        <v>0</v>
      </c>
      <c r="G38">
        <f t="shared" si="1"/>
        <v>0</v>
      </c>
      <c r="H38">
        <v>4280</v>
      </c>
      <c r="I38">
        <v>20</v>
      </c>
    </row>
    <row r="39" spans="1:9">
      <c r="A39" t="s">
        <v>55</v>
      </c>
      <c r="B39" t="s">
        <v>56</v>
      </c>
      <c r="C39" t="s">
        <v>136</v>
      </c>
      <c r="D39">
        <f t="shared" si="0"/>
        <v>0</v>
      </c>
      <c r="E39" t="s">
        <v>137</v>
      </c>
      <c r="F39">
        <f t="shared" si="0"/>
        <v>1</v>
      </c>
      <c r="G39">
        <f t="shared" si="1"/>
        <v>1</v>
      </c>
      <c r="H39">
        <v>3775</v>
      </c>
      <c r="I39">
        <v>35</v>
      </c>
    </row>
    <row r="40" spans="1:9">
      <c r="A40" t="s">
        <v>55</v>
      </c>
      <c r="B40" t="s">
        <v>57</v>
      </c>
      <c r="C40" t="s">
        <v>136</v>
      </c>
      <c r="D40">
        <f t="shared" si="0"/>
        <v>0</v>
      </c>
      <c r="E40" t="s">
        <v>137</v>
      </c>
      <c r="F40">
        <f t="shared" si="0"/>
        <v>1</v>
      </c>
      <c r="G40">
        <f t="shared" si="1"/>
        <v>1</v>
      </c>
      <c r="H40">
        <v>4220</v>
      </c>
      <c r="I40">
        <v>30</v>
      </c>
    </row>
    <row r="41" spans="1:9">
      <c r="A41" t="s">
        <v>55</v>
      </c>
      <c r="B41" t="s">
        <v>58</v>
      </c>
      <c r="C41" t="s">
        <v>136</v>
      </c>
      <c r="D41">
        <f t="shared" si="0"/>
        <v>0</v>
      </c>
      <c r="E41" t="s">
        <v>136</v>
      </c>
      <c r="F41">
        <f t="shared" si="0"/>
        <v>0</v>
      </c>
      <c r="G41">
        <f t="shared" si="1"/>
        <v>0</v>
      </c>
      <c r="H41">
        <v>3145</v>
      </c>
      <c r="I41">
        <v>26</v>
      </c>
    </row>
    <row r="42" spans="1:9">
      <c r="A42" t="s">
        <v>55</v>
      </c>
      <c r="B42" t="s">
        <v>56</v>
      </c>
      <c r="C42" t="s">
        <v>136</v>
      </c>
      <c r="D42">
        <f t="shared" si="0"/>
        <v>0</v>
      </c>
      <c r="E42" t="s">
        <v>136</v>
      </c>
      <c r="F42">
        <f t="shared" si="0"/>
        <v>0</v>
      </c>
      <c r="G42">
        <f t="shared" si="1"/>
        <v>0</v>
      </c>
      <c r="H42">
        <v>3605</v>
      </c>
      <c r="I42">
        <v>26</v>
      </c>
    </row>
    <row r="43" spans="1:9">
      <c r="A43" t="s">
        <v>55</v>
      </c>
      <c r="B43" t="s">
        <v>57</v>
      </c>
      <c r="C43" t="s">
        <v>136</v>
      </c>
      <c r="D43">
        <f t="shared" si="0"/>
        <v>0</v>
      </c>
      <c r="E43" t="s">
        <v>136</v>
      </c>
      <c r="F43">
        <f t="shared" si="0"/>
        <v>0</v>
      </c>
      <c r="G43">
        <f t="shared" si="1"/>
        <v>0</v>
      </c>
      <c r="H43">
        <v>3935</v>
      </c>
      <c r="I43">
        <v>24</v>
      </c>
    </row>
    <row r="44" spans="1:9">
      <c r="A44" t="s">
        <v>55</v>
      </c>
      <c r="B44" t="s">
        <v>59</v>
      </c>
      <c r="C44" t="s">
        <v>136</v>
      </c>
      <c r="D44">
        <f t="shared" si="0"/>
        <v>0</v>
      </c>
      <c r="E44" t="s">
        <v>136</v>
      </c>
      <c r="F44">
        <f t="shared" si="0"/>
        <v>0</v>
      </c>
      <c r="G44">
        <f t="shared" si="1"/>
        <v>0</v>
      </c>
      <c r="H44">
        <v>4395</v>
      </c>
      <c r="I44">
        <v>21</v>
      </c>
    </row>
    <row r="45" spans="1:9">
      <c r="A45" t="s">
        <v>60</v>
      </c>
      <c r="B45" t="s">
        <v>61</v>
      </c>
      <c r="C45" t="s">
        <v>136</v>
      </c>
      <c r="D45">
        <f t="shared" si="0"/>
        <v>0</v>
      </c>
      <c r="E45" t="s">
        <v>136</v>
      </c>
      <c r="F45">
        <f t="shared" si="0"/>
        <v>0</v>
      </c>
      <c r="G45">
        <f t="shared" si="1"/>
        <v>0</v>
      </c>
      <c r="H45">
        <v>4155</v>
      </c>
      <c r="I45">
        <v>22</v>
      </c>
    </row>
    <row r="46" spans="1:9">
      <c r="A46" t="s">
        <v>62</v>
      </c>
      <c r="B46" t="s">
        <v>63</v>
      </c>
      <c r="C46" t="s">
        <v>136</v>
      </c>
      <c r="D46">
        <f t="shared" si="0"/>
        <v>0</v>
      </c>
      <c r="E46" t="s">
        <v>136</v>
      </c>
      <c r="F46">
        <f t="shared" si="0"/>
        <v>0</v>
      </c>
      <c r="G46">
        <f t="shared" si="1"/>
        <v>0</v>
      </c>
      <c r="H46">
        <v>4130</v>
      </c>
      <c r="I46">
        <v>21</v>
      </c>
    </row>
    <row r="47" spans="1:9">
      <c r="A47" t="s">
        <v>62</v>
      </c>
      <c r="B47" t="s">
        <v>64</v>
      </c>
      <c r="C47" t="s">
        <v>136</v>
      </c>
      <c r="D47">
        <f t="shared" si="0"/>
        <v>0</v>
      </c>
      <c r="E47" t="s">
        <v>136</v>
      </c>
      <c r="F47">
        <f t="shared" si="0"/>
        <v>0</v>
      </c>
      <c r="G47">
        <f t="shared" si="1"/>
        <v>0</v>
      </c>
      <c r="H47">
        <v>4350</v>
      </c>
      <c r="I47">
        <v>20</v>
      </c>
    </row>
    <row r="48" spans="1:9">
      <c r="A48" t="s">
        <v>65</v>
      </c>
      <c r="B48" t="s">
        <v>66</v>
      </c>
      <c r="C48" t="s">
        <v>137</v>
      </c>
      <c r="D48">
        <f t="shared" si="0"/>
        <v>1</v>
      </c>
      <c r="E48" t="s">
        <v>136</v>
      </c>
      <c r="F48">
        <f t="shared" si="0"/>
        <v>0</v>
      </c>
      <c r="G48">
        <f t="shared" si="1"/>
        <v>0</v>
      </c>
      <c r="H48">
        <v>3360</v>
      </c>
      <c r="I48">
        <v>24</v>
      </c>
    </row>
    <row r="49" spans="1:9">
      <c r="A49" t="s">
        <v>65</v>
      </c>
      <c r="B49" t="s">
        <v>67</v>
      </c>
      <c r="C49" t="s">
        <v>137</v>
      </c>
      <c r="D49">
        <f t="shared" si="0"/>
        <v>1</v>
      </c>
      <c r="E49" t="s">
        <v>136</v>
      </c>
      <c r="F49">
        <f t="shared" si="0"/>
        <v>0</v>
      </c>
      <c r="G49">
        <f t="shared" si="1"/>
        <v>0</v>
      </c>
      <c r="H49">
        <v>4070</v>
      </c>
      <c r="I49">
        <v>23</v>
      </c>
    </row>
    <row r="50" spans="1:9">
      <c r="A50" t="s">
        <v>65</v>
      </c>
      <c r="B50" t="s">
        <v>68</v>
      </c>
      <c r="C50" t="s">
        <v>137</v>
      </c>
      <c r="D50">
        <f t="shared" si="0"/>
        <v>1</v>
      </c>
      <c r="E50" t="s">
        <v>136</v>
      </c>
      <c r="F50">
        <f t="shared" si="0"/>
        <v>0</v>
      </c>
      <c r="G50">
        <f t="shared" si="1"/>
        <v>0</v>
      </c>
      <c r="H50">
        <v>4440</v>
      </c>
      <c r="I50">
        <v>18</v>
      </c>
    </row>
    <row r="51" spans="1:9">
      <c r="A51" t="s">
        <v>65</v>
      </c>
      <c r="B51" t="s">
        <v>69</v>
      </c>
      <c r="C51" t="s">
        <v>137</v>
      </c>
      <c r="D51">
        <f t="shared" si="0"/>
        <v>1</v>
      </c>
      <c r="E51" t="s">
        <v>136</v>
      </c>
      <c r="F51">
        <f t="shared" si="0"/>
        <v>0</v>
      </c>
      <c r="G51">
        <f t="shared" si="1"/>
        <v>0</v>
      </c>
      <c r="H51">
        <v>4840</v>
      </c>
      <c r="I51">
        <v>19</v>
      </c>
    </row>
    <row r="52" spans="1:9">
      <c r="A52" t="s">
        <v>70</v>
      </c>
      <c r="B52" t="s">
        <v>71</v>
      </c>
      <c r="C52" t="s">
        <v>136</v>
      </c>
      <c r="D52">
        <f t="shared" si="0"/>
        <v>0</v>
      </c>
      <c r="E52" t="s">
        <v>137</v>
      </c>
      <c r="F52">
        <f t="shared" si="0"/>
        <v>1</v>
      </c>
      <c r="G52">
        <f t="shared" si="1"/>
        <v>1</v>
      </c>
      <c r="H52">
        <v>4250</v>
      </c>
      <c r="I52">
        <v>28</v>
      </c>
    </row>
    <row r="53" spans="1:9">
      <c r="A53" t="s">
        <v>70</v>
      </c>
      <c r="B53" t="s">
        <v>72</v>
      </c>
      <c r="C53" t="s">
        <v>136</v>
      </c>
      <c r="D53">
        <f t="shared" si="0"/>
        <v>0</v>
      </c>
      <c r="E53" t="s">
        <v>136</v>
      </c>
      <c r="F53">
        <f t="shared" si="0"/>
        <v>0</v>
      </c>
      <c r="G53">
        <f t="shared" si="1"/>
        <v>0</v>
      </c>
      <c r="H53">
        <v>3120</v>
      </c>
      <c r="I53">
        <v>28</v>
      </c>
    </row>
    <row r="54" spans="1:9">
      <c r="A54" t="s">
        <v>70</v>
      </c>
      <c r="B54" t="s">
        <v>73</v>
      </c>
      <c r="C54" t="s">
        <v>136</v>
      </c>
      <c r="D54">
        <f t="shared" si="0"/>
        <v>0</v>
      </c>
      <c r="E54" t="s">
        <v>136</v>
      </c>
      <c r="F54">
        <f t="shared" si="0"/>
        <v>0</v>
      </c>
      <c r="G54">
        <f t="shared" si="1"/>
        <v>0</v>
      </c>
      <c r="H54">
        <v>3485</v>
      </c>
      <c r="I54">
        <v>23</v>
      </c>
    </row>
    <row r="55" spans="1:9">
      <c r="A55" t="s">
        <v>70</v>
      </c>
      <c r="B55" t="s">
        <v>74</v>
      </c>
      <c r="C55" t="s">
        <v>136</v>
      </c>
      <c r="D55">
        <f t="shared" si="0"/>
        <v>0</v>
      </c>
      <c r="E55" t="s">
        <v>136</v>
      </c>
      <c r="F55">
        <f t="shared" si="0"/>
        <v>0</v>
      </c>
      <c r="G55">
        <f t="shared" si="1"/>
        <v>0</v>
      </c>
      <c r="H55">
        <v>4300</v>
      </c>
      <c r="I55">
        <v>21</v>
      </c>
    </row>
    <row r="56" spans="1:9">
      <c r="A56" t="s">
        <v>70</v>
      </c>
      <c r="B56" t="s">
        <v>71</v>
      </c>
      <c r="C56" t="s">
        <v>136</v>
      </c>
      <c r="D56">
        <f t="shared" si="0"/>
        <v>0</v>
      </c>
      <c r="E56" t="s">
        <v>136</v>
      </c>
      <c r="F56">
        <f t="shared" si="0"/>
        <v>0</v>
      </c>
      <c r="G56">
        <f t="shared" si="1"/>
        <v>0</v>
      </c>
      <c r="H56">
        <v>3985</v>
      </c>
      <c r="I56">
        <v>25</v>
      </c>
    </row>
    <row r="57" spans="1:9">
      <c r="A57" t="s">
        <v>75</v>
      </c>
      <c r="B57" t="s">
        <v>76</v>
      </c>
      <c r="C57" t="s">
        <v>136</v>
      </c>
      <c r="D57">
        <f t="shared" si="0"/>
        <v>0</v>
      </c>
      <c r="E57" t="s">
        <v>136</v>
      </c>
      <c r="F57">
        <f t="shared" si="0"/>
        <v>0</v>
      </c>
      <c r="G57">
        <f t="shared" si="1"/>
        <v>0</v>
      </c>
      <c r="H57">
        <v>4350</v>
      </c>
      <c r="I57">
        <v>21</v>
      </c>
    </row>
    <row r="58" spans="1:9">
      <c r="A58" t="s">
        <v>75</v>
      </c>
      <c r="B58" t="s">
        <v>77</v>
      </c>
      <c r="C58" t="s">
        <v>136</v>
      </c>
      <c r="D58">
        <f t="shared" si="0"/>
        <v>0</v>
      </c>
      <c r="E58" t="s">
        <v>136</v>
      </c>
      <c r="F58">
        <f t="shared" si="0"/>
        <v>0</v>
      </c>
      <c r="G58">
        <f t="shared" si="1"/>
        <v>0</v>
      </c>
      <c r="H58">
        <v>4325</v>
      </c>
      <c r="I58">
        <v>21</v>
      </c>
    </row>
    <row r="59" spans="1:9">
      <c r="A59" t="s">
        <v>75</v>
      </c>
      <c r="B59" t="s">
        <v>78</v>
      </c>
      <c r="C59" t="s">
        <v>136</v>
      </c>
      <c r="D59">
        <f t="shared" si="0"/>
        <v>0</v>
      </c>
      <c r="E59" t="s">
        <v>136</v>
      </c>
      <c r="F59">
        <f t="shared" si="0"/>
        <v>0</v>
      </c>
      <c r="G59">
        <f t="shared" si="1"/>
        <v>0</v>
      </c>
      <c r="H59">
        <v>4235</v>
      </c>
      <c r="I59">
        <v>20</v>
      </c>
    </row>
    <row r="60" spans="1:9">
      <c r="A60" t="s">
        <v>75</v>
      </c>
      <c r="B60" t="s">
        <v>79</v>
      </c>
      <c r="C60" t="s">
        <v>136</v>
      </c>
      <c r="D60">
        <f t="shared" si="0"/>
        <v>0</v>
      </c>
      <c r="E60" t="s">
        <v>136</v>
      </c>
      <c r="F60">
        <f t="shared" si="0"/>
        <v>0</v>
      </c>
      <c r="G60">
        <f t="shared" si="1"/>
        <v>0</v>
      </c>
      <c r="H60">
        <v>5255</v>
      </c>
      <c r="I60">
        <v>18</v>
      </c>
    </row>
    <row r="61" spans="1:9">
      <c r="A61" t="s">
        <v>75</v>
      </c>
      <c r="B61" t="s">
        <v>80</v>
      </c>
      <c r="C61" t="s">
        <v>136</v>
      </c>
      <c r="D61">
        <f t="shared" si="0"/>
        <v>0</v>
      </c>
      <c r="E61" t="s">
        <v>136</v>
      </c>
      <c r="F61">
        <f t="shared" si="0"/>
        <v>0</v>
      </c>
      <c r="G61">
        <f t="shared" si="1"/>
        <v>0</v>
      </c>
      <c r="H61">
        <v>5405</v>
      </c>
      <c r="I61">
        <v>17</v>
      </c>
    </row>
    <row r="62" spans="1:9">
      <c r="A62" t="s">
        <v>75</v>
      </c>
      <c r="B62" t="s">
        <v>81</v>
      </c>
      <c r="C62" t="s">
        <v>136</v>
      </c>
      <c r="D62">
        <f t="shared" si="0"/>
        <v>0</v>
      </c>
      <c r="E62" t="s">
        <v>136</v>
      </c>
      <c r="F62">
        <f t="shared" si="0"/>
        <v>0</v>
      </c>
      <c r="G62">
        <f t="shared" si="1"/>
        <v>0</v>
      </c>
      <c r="H62">
        <v>5435</v>
      </c>
      <c r="I62">
        <v>18</v>
      </c>
    </row>
    <row r="63" spans="1:9">
      <c r="A63" t="s">
        <v>82</v>
      </c>
      <c r="B63" t="s">
        <v>83</v>
      </c>
      <c r="C63" t="s">
        <v>136</v>
      </c>
      <c r="D63">
        <f t="shared" si="0"/>
        <v>0</v>
      </c>
      <c r="E63" t="s">
        <v>137</v>
      </c>
      <c r="F63">
        <f t="shared" si="0"/>
        <v>1</v>
      </c>
      <c r="G63">
        <f t="shared" ref="G63:G105" si="2">IF(E63="No",0,1)</f>
        <v>1</v>
      </c>
      <c r="H63">
        <v>3570</v>
      </c>
      <c r="I63">
        <v>37</v>
      </c>
    </row>
    <row r="64" spans="1:9">
      <c r="A64" t="s">
        <v>82</v>
      </c>
      <c r="B64" t="s">
        <v>84</v>
      </c>
      <c r="C64" t="s">
        <v>136</v>
      </c>
      <c r="D64">
        <f t="shared" si="0"/>
        <v>0</v>
      </c>
      <c r="E64" t="s">
        <v>137</v>
      </c>
      <c r="F64">
        <f t="shared" si="0"/>
        <v>1</v>
      </c>
      <c r="G64">
        <f t="shared" si="2"/>
        <v>1</v>
      </c>
      <c r="H64">
        <v>4800</v>
      </c>
      <c r="I64">
        <v>29</v>
      </c>
    </row>
    <row r="65" spans="1:9">
      <c r="A65" t="s">
        <v>82</v>
      </c>
      <c r="B65" t="s">
        <v>85</v>
      </c>
      <c r="C65" t="s">
        <v>136</v>
      </c>
      <c r="D65">
        <f t="shared" si="0"/>
        <v>0</v>
      </c>
      <c r="E65" t="s">
        <v>136</v>
      </c>
      <c r="F65">
        <f t="shared" si="0"/>
        <v>0</v>
      </c>
      <c r="G65">
        <f t="shared" si="2"/>
        <v>0</v>
      </c>
      <c r="H65">
        <v>4650</v>
      </c>
      <c r="I65">
        <v>20</v>
      </c>
    </row>
    <row r="66" spans="1:9">
      <c r="A66" t="s">
        <v>82</v>
      </c>
      <c r="B66" t="s">
        <v>86</v>
      </c>
      <c r="C66" t="s">
        <v>136</v>
      </c>
      <c r="D66">
        <f t="shared" si="0"/>
        <v>0</v>
      </c>
      <c r="E66" t="s">
        <v>136</v>
      </c>
      <c r="F66">
        <f t="shared" si="0"/>
        <v>0</v>
      </c>
      <c r="G66">
        <f t="shared" si="2"/>
        <v>0</v>
      </c>
      <c r="H66">
        <v>5170</v>
      </c>
      <c r="I66">
        <v>17</v>
      </c>
    </row>
    <row r="67" spans="1:9">
      <c r="A67" t="s">
        <v>82</v>
      </c>
      <c r="B67" t="s">
        <v>84</v>
      </c>
      <c r="C67" t="s">
        <v>136</v>
      </c>
      <c r="D67">
        <f t="shared" ref="D67:F105" si="3">IF(C67="No",0,1)</f>
        <v>0</v>
      </c>
      <c r="E67" t="s">
        <v>136</v>
      </c>
      <c r="F67">
        <f t="shared" si="3"/>
        <v>0</v>
      </c>
      <c r="G67">
        <f t="shared" si="2"/>
        <v>0</v>
      </c>
      <c r="H67">
        <v>4435</v>
      </c>
      <c r="I67">
        <v>22</v>
      </c>
    </row>
    <row r="68" spans="1:9">
      <c r="A68" t="s">
        <v>87</v>
      </c>
      <c r="B68" t="s">
        <v>88</v>
      </c>
      <c r="C68" t="s">
        <v>137</v>
      </c>
      <c r="D68">
        <f t="shared" si="3"/>
        <v>1</v>
      </c>
      <c r="E68" t="s">
        <v>136</v>
      </c>
      <c r="F68">
        <f t="shared" si="3"/>
        <v>0</v>
      </c>
      <c r="G68">
        <f t="shared" si="2"/>
        <v>0</v>
      </c>
      <c r="H68">
        <v>3910</v>
      </c>
      <c r="I68">
        <v>23</v>
      </c>
    </row>
    <row r="69" spans="1:9">
      <c r="A69" t="s">
        <v>87</v>
      </c>
      <c r="B69" t="s">
        <v>89</v>
      </c>
      <c r="C69" t="s">
        <v>137</v>
      </c>
      <c r="D69">
        <f t="shared" si="3"/>
        <v>1</v>
      </c>
      <c r="E69" t="s">
        <v>136</v>
      </c>
      <c r="F69">
        <f t="shared" si="3"/>
        <v>0</v>
      </c>
      <c r="G69">
        <f t="shared" si="2"/>
        <v>0</v>
      </c>
      <c r="H69">
        <v>4560</v>
      </c>
      <c r="I69">
        <v>18</v>
      </c>
    </row>
    <row r="70" spans="1:9">
      <c r="A70" t="s">
        <v>87</v>
      </c>
      <c r="B70" t="s">
        <v>90</v>
      </c>
      <c r="C70" t="s">
        <v>137</v>
      </c>
      <c r="D70">
        <f t="shared" si="3"/>
        <v>1</v>
      </c>
      <c r="E70" t="s">
        <v>136</v>
      </c>
      <c r="F70">
        <f t="shared" si="3"/>
        <v>0</v>
      </c>
      <c r="G70">
        <f t="shared" si="2"/>
        <v>0</v>
      </c>
      <c r="H70">
        <v>5065</v>
      </c>
      <c r="I70">
        <v>19</v>
      </c>
    </row>
    <row r="71" spans="1:9">
      <c r="A71" t="s">
        <v>91</v>
      </c>
      <c r="B71" t="s">
        <v>92</v>
      </c>
      <c r="C71" t="s">
        <v>136</v>
      </c>
      <c r="D71">
        <f t="shared" si="3"/>
        <v>0</v>
      </c>
      <c r="E71" t="s">
        <v>136</v>
      </c>
      <c r="F71">
        <f t="shared" si="3"/>
        <v>0</v>
      </c>
      <c r="G71">
        <f t="shared" si="2"/>
        <v>0</v>
      </c>
      <c r="H71">
        <v>3280</v>
      </c>
      <c r="I71">
        <v>27</v>
      </c>
    </row>
    <row r="72" spans="1:9">
      <c r="A72" t="s">
        <v>91</v>
      </c>
      <c r="B72" t="s">
        <v>93</v>
      </c>
      <c r="C72" t="s">
        <v>136</v>
      </c>
      <c r="D72">
        <f t="shared" si="3"/>
        <v>0</v>
      </c>
      <c r="E72" t="s">
        <v>136</v>
      </c>
      <c r="F72">
        <f t="shared" si="3"/>
        <v>0</v>
      </c>
      <c r="G72">
        <f t="shared" si="2"/>
        <v>0</v>
      </c>
      <c r="H72">
        <v>3590</v>
      </c>
      <c r="I72">
        <v>24</v>
      </c>
    </row>
    <row r="73" spans="1:9">
      <c r="A73" t="s">
        <v>91</v>
      </c>
      <c r="B73" t="s">
        <v>94</v>
      </c>
      <c r="C73" t="s">
        <v>136</v>
      </c>
      <c r="D73">
        <f t="shared" si="3"/>
        <v>0</v>
      </c>
      <c r="E73" t="s">
        <v>136</v>
      </c>
      <c r="F73">
        <f t="shared" si="3"/>
        <v>0</v>
      </c>
      <c r="G73">
        <f t="shared" si="2"/>
        <v>0</v>
      </c>
      <c r="H73">
        <v>4585</v>
      </c>
      <c r="I73">
        <v>22</v>
      </c>
    </row>
    <row r="74" spans="1:9">
      <c r="A74" t="s">
        <v>95</v>
      </c>
      <c r="B74" t="s">
        <v>96</v>
      </c>
      <c r="C74" t="s">
        <v>136</v>
      </c>
      <c r="D74">
        <f t="shared" si="3"/>
        <v>0</v>
      </c>
      <c r="E74" t="s">
        <v>136</v>
      </c>
      <c r="F74">
        <f t="shared" si="3"/>
        <v>0</v>
      </c>
      <c r="G74">
        <f t="shared" si="2"/>
        <v>0</v>
      </c>
      <c r="H74">
        <v>3630</v>
      </c>
      <c r="I74">
        <v>27</v>
      </c>
    </row>
    <row r="75" spans="1:9">
      <c r="A75" t="s">
        <v>95</v>
      </c>
      <c r="B75" t="s">
        <v>97</v>
      </c>
      <c r="C75" t="s">
        <v>136</v>
      </c>
      <c r="D75">
        <f t="shared" si="3"/>
        <v>0</v>
      </c>
      <c r="E75" t="s">
        <v>136</v>
      </c>
      <c r="F75">
        <f t="shared" si="3"/>
        <v>0</v>
      </c>
      <c r="G75">
        <f t="shared" si="2"/>
        <v>0</v>
      </c>
      <c r="H75">
        <v>4010</v>
      </c>
      <c r="I75">
        <v>22</v>
      </c>
    </row>
    <row r="76" spans="1:9">
      <c r="A76" t="s">
        <v>95</v>
      </c>
      <c r="B76" t="s">
        <v>98</v>
      </c>
      <c r="C76" t="s">
        <v>136</v>
      </c>
      <c r="D76">
        <f t="shared" si="3"/>
        <v>0</v>
      </c>
      <c r="E76" t="s">
        <v>136</v>
      </c>
      <c r="F76">
        <f t="shared" si="3"/>
        <v>0</v>
      </c>
      <c r="G76">
        <f t="shared" si="2"/>
        <v>0</v>
      </c>
      <c r="H76">
        <v>3785</v>
      </c>
      <c r="I76">
        <v>26</v>
      </c>
    </row>
    <row r="77" spans="1:9">
      <c r="A77" t="s">
        <v>95</v>
      </c>
      <c r="B77" t="s">
        <v>99</v>
      </c>
      <c r="C77" t="s">
        <v>136</v>
      </c>
      <c r="D77">
        <f t="shared" si="3"/>
        <v>0</v>
      </c>
      <c r="E77" t="s">
        <v>136</v>
      </c>
      <c r="F77">
        <f t="shared" si="3"/>
        <v>0</v>
      </c>
      <c r="G77">
        <f t="shared" si="2"/>
        <v>0</v>
      </c>
      <c r="H77">
        <v>5145</v>
      </c>
      <c r="I77">
        <v>20</v>
      </c>
    </row>
    <row r="78" spans="1:9">
      <c r="A78" t="s">
        <v>100</v>
      </c>
      <c r="B78" t="s">
        <v>101</v>
      </c>
      <c r="C78" t="s">
        <v>136</v>
      </c>
      <c r="D78">
        <f t="shared" si="3"/>
        <v>0</v>
      </c>
      <c r="E78" t="s">
        <v>136</v>
      </c>
      <c r="F78">
        <f t="shared" si="3"/>
        <v>0</v>
      </c>
      <c r="G78">
        <f t="shared" si="2"/>
        <v>0</v>
      </c>
      <c r="H78">
        <v>3690</v>
      </c>
      <c r="I78">
        <v>25</v>
      </c>
    </row>
    <row r="79" spans="1:9">
      <c r="A79" t="s">
        <v>102</v>
      </c>
      <c r="B79" t="s">
        <v>103</v>
      </c>
      <c r="C79" t="s">
        <v>136</v>
      </c>
      <c r="D79">
        <f t="shared" si="3"/>
        <v>0</v>
      </c>
      <c r="E79" t="s">
        <v>136</v>
      </c>
      <c r="F79">
        <f t="shared" si="3"/>
        <v>0</v>
      </c>
      <c r="G79">
        <f t="shared" si="2"/>
        <v>0</v>
      </c>
      <c r="H79">
        <v>3515</v>
      </c>
      <c r="I79">
        <v>24</v>
      </c>
    </row>
    <row r="80" spans="1:9">
      <c r="A80" t="s">
        <v>102</v>
      </c>
      <c r="B80" t="s">
        <v>104</v>
      </c>
      <c r="C80" t="s">
        <v>136</v>
      </c>
      <c r="D80">
        <f t="shared" si="3"/>
        <v>0</v>
      </c>
      <c r="E80" t="s">
        <v>136</v>
      </c>
      <c r="F80">
        <f t="shared" si="3"/>
        <v>0</v>
      </c>
      <c r="G80">
        <f t="shared" si="2"/>
        <v>0</v>
      </c>
      <c r="H80">
        <v>3845</v>
      </c>
      <c r="I80">
        <v>25</v>
      </c>
    </row>
    <row r="81" spans="1:9">
      <c r="A81" t="s">
        <v>105</v>
      </c>
      <c r="B81" t="s">
        <v>106</v>
      </c>
      <c r="C81" t="s">
        <v>136</v>
      </c>
      <c r="D81">
        <f t="shared" si="3"/>
        <v>0</v>
      </c>
      <c r="E81" t="s">
        <v>136</v>
      </c>
      <c r="F81">
        <f t="shared" si="3"/>
        <v>0</v>
      </c>
      <c r="G81">
        <f t="shared" si="2"/>
        <v>0</v>
      </c>
      <c r="H81">
        <v>3365</v>
      </c>
      <c r="I81">
        <v>26</v>
      </c>
    </row>
    <row r="82" spans="1:9">
      <c r="A82" t="s">
        <v>105</v>
      </c>
      <c r="B82" t="s">
        <v>107</v>
      </c>
      <c r="C82" t="s">
        <v>136</v>
      </c>
      <c r="D82">
        <f t="shared" si="3"/>
        <v>0</v>
      </c>
      <c r="E82" t="s">
        <v>136</v>
      </c>
      <c r="F82">
        <f t="shared" si="3"/>
        <v>0</v>
      </c>
      <c r="G82">
        <f t="shared" si="2"/>
        <v>0</v>
      </c>
      <c r="H82">
        <v>3605</v>
      </c>
      <c r="I82">
        <v>25</v>
      </c>
    </row>
    <row r="83" spans="1:9">
      <c r="A83" t="s">
        <v>105</v>
      </c>
      <c r="B83" t="s">
        <v>108</v>
      </c>
      <c r="C83" t="s">
        <v>136</v>
      </c>
      <c r="D83">
        <f t="shared" si="3"/>
        <v>0</v>
      </c>
      <c r="E83" t="s">
        <v>136</v>
      </c>
      <c r="F83">
        <f t="shared" si="3"/>
        <v>0</v>
      </c>
      <c r="G83">
        <f t="shared" si="2"/>
        <v>0</v>
      </c>
      <c r="H83">
        <v>4025</v>
      </c>
      <c r="I83">
        <v>21</v>
      </c>
    </row>
    <row r="84" spans="1:9">
      <c r="A84" t="s">
        <v>105</v>
      </c>
      <c r="B84" t="s">
        <v>109</v>
      </c>
      <c r="C84" t="s">
        <v>136</v>
      </c>
      <c r="D84">
        <f t="shared" si="3"/>
        <v>0</v>
      </c>
      <c r="E84" t="s">
        <v>136</v>
      </c>
      <c r="F84">
        <f t="shared" si="3"/>
        <v>0</v>
      </c>
      <c r="G84">
        <f t="shared" si="2"/>
        <v>0</v>
      </c>
      <c r="H84">
        <v>4600</v>
      </c>
      <c r="I84">
        <v>21</v>
      </c>
    </row>
    <row r="85" spans="1:9">
      <c r="A85" t="s">
        <v>110</v>
      </c>
      <c r="B85" t="s">
        <v>111</v>
      </c>
      <c r="C85" t="s">
        <v>136</v>
      </c>
      <c r="D85">
        <f t="shared" si="3"/>
        <v>0</v>
      </c>
      <c r="E85" t="s">
        <v>136</v>
      </c>
      <c r="F85">
        <f t="shared" si="3"/>
        <v>0</v>
      </c>
      <c r="G85">
        <f t="shared" si="2"/>
        <v>0</v>
      </c>
      <c r="H85">
        <v>4415</v>
      </c>
      <c r="I85">
        <v>19</v>
      </c>
    </row>
    <row r="86" spans="1:9">
      <c r="A86" t="s">
        <v>110</v>
      </c>
      <c r="B86" t="s">
        <v>112</v>
      </c>
      <c r="C86" t="s">
        <v>136</v>
      </c>
      <c r="D86">
        <f t="shared" si="3"/>
        <v>0</v>
      </c>
      <c r="E86" t="s">
        <v>136</v>
      </c>
      <c r="F86">
        <f t="shared" si="3"/>
        <v>0</v>
      </c>
      <c r="G86">
        <f t="shared" si="2"/>
        <v>0</v>
      </c>
      <c r="H86">
        <v>4680</v>
      </c>
      <c r="I86">
        <v>21</v>
      </c>
    </row>
    <row r="87" spans="1:9">
      <c r="A87" t="s">
        <v>113</v>
      </c>
      <c r="B87" t="s">
        <v>114</v>
      </c>
      <c r="C87" t="s">
        <v>136</v>
      </c>
      <c r="D87">
        <f t="shared" si="3"/>
        <v>0</v>
      </c>
      <c r="E87" t="s">
        <v>137</v>
      </c>
      <c r="F87">
        <f t="shared" si="3"/>
        <v>1</v>
      </c>
      <c r="G87">
        <f t="shared" si="2"/>
        <v>1</v>
      </c>
      <c r="H87">
        <v>3725</v>
      </c>
      <c r="I87">
        <v>42</v>
      </c>
    </row>
    <row r="88" spans="1:9">
      <c r="A88" t="s">
        <v>113</v>
      </c>
      <c r="B88" t="s">
        <v>114</v>
      </c>
      <c r="C88" t="s">
        <v>136</v>
      </c>
      <c r="D88">
        <f t="shared" si="3"/>
        <v>0</v>
      </c>
      <c r="E88" t="s">
        <v>136</v>
      </c>
      <c r="F88">
        <f t="shared" si="3"/>
        <v>0</v>
      </c>
      <c r="G88">
        <f t="shared" si="2"/>
        <v>0</v>
      </c>
      <c r="H88">
        <v>3190</v>
      </c>
      <c r="I88">
        <v>29</v>
      </c>
    </row>
    <row r="89" spans="1:9">
      <c r="A89" t="s">
        <v>113</v>
      </c>
      <c r="B89" t="s">
        <v>115</v>
      </c>
      <c r="C89" t="s">
        <v>136</v>
      </c>
      <c r="D89">
        <f t="shared" si="3"/>
        <v>0</v>
      </c>
      <c r="E89" t="s">
        <v>136</v>
      </c>
      <c r="F89">
        <f t="shared" si="3"/>
        <v>0</v>
      </c>
      <c r="G89">
        <f t="shared" si="2"/>
        <v>0</v>
      </c>
      <c r="H89">
        <v>3485</v>
      </c>
      <c r="I89">
        <v>28</v>
      </c>
    </row>
    <row r="90" spans="1:9">
      <c r="A90" t="s">
        <v>113</v>
      </c>
      <c r="B90" t="s">
        <v>116</v>
      </c>
      <c r="C90" t="s">
        <v>136</v>
      </c>
      <c r="D90">
        <f t="shared" si="3"/>
        <v>0</v>
      </c>
      <c r="E90" t="s">
        <v>136</v>
      </c>
      <c r="F90">
        <f t="shared" si="3"/>
        <v>0</v>
      </c>
      <c r="G90">
        <f t="shared" si="2"/>
        <v>0</v>
      </c>
      <c r="H90">
        <v>3915</v>
      </c>
      <c r="I90">
        <v>24</v>
      </c>
    </row>
    <row r="91" spans="1:9">
      <c r="A91" t="s">
        <v>113</v>
      </c>
      <c r="B91" t="s">
        <v>117</v>
      </c>
      <c r="C91" t="s">
        <v>136</v>
      </c>
      <c r="D91">
        <f t="shared" si="3"/>
        <v>0</v>
      </c>
      <c r="E91" t="s">
        <v>136</v>
      </c>
      <c r="F91">
        <f t="shared" si="3"/>
        <v>0</v>
      </c>
      <c r="G91">
        <f t="shared" si="2"/>
        <v>0</v>
      </c>
      <c r="H91">
        <v>4550</v>
      </c>
      <c r="I91">
        <v>22</v>
      </c>
    </row>
    <row r="92" spans="1:9">
      <c r="A92" t="s">
        <v>118</v>
      </c>
      <c r="B92" t="s">
        <v>119</v>
      </c>
      <c r="C92" t="s">
        <v>136</v>
      </c>
      <c r="D92">
        <f t="shared" si="3"/>
        <v>0</v>
      </c>
      <c r="E92" t="s">
        <v>137</v>
      </c>
      <c r="F92">
        <f t="shared" si="3"/>
        <v>1</v>
      </c>
      <c r="G92">
        <f t="shared" si="2"/>
        <v>1</v>
      </c>
      <c r="H92">
        <v>4335</v>
      </c>
      <c r="I92">
        <v>37</v>
      </c>
    </row>
    <row r="93" spans="1:9">
      <c r="A93" t="s">
        <v>118</v>
      </c>
      <c r="B93" t="s">
        <v>120</v>
      </c>
      <c r="C93" t="s">
        <v>136</v>
      </c>
      <c r="D93">
        <f t="shared" si="3"/>
        <v>0</v>
      </c>
      <c r="E93" t="s">
        <v>137</v>
      </c>
      <c r="F93">
        <f t="shared" si="3"/>
        <v>1</v>
      </c>
      <c r="G93">
        <f t="shared" si="2"/>
        <v>1</v>
      </c>
      <c r="H93">
        <v>3850</v>
      </c>
      <c r="I93">
        <v>37</v>
      </c>
    </row>
    <row r="94" spans="1:9">
      <c r="A94" t="s">
        <v>118</v>
      </c>
      <c r="B94" t="s">
        <v>121</v>
      </c>
      <c r="C94" t="s">
        <v>136</v>
      </c>
      <c r="D94">
        <f t="shared" si="3"/>
        <v>0</v>
      </c>
      <c r="E94" t="s">
        <v>137</v>
      </c>
      <c r="F94">
        <f t="shared" si="3"/>
        <v>1</v>
      </c>
      <c r="G94">
        <f t="shared" si="2"/>
        <v>1</v>
      </c>
      <c r="H94">
        <v>4455</v>
      </c>
      <c r="I94">
        <v>35</v>
      </c>
    </row>
    <row r="95" spans="1:9">
      <c r="A95" t="s">
        <v>118</v>
      </c>
      <c r="B95" t="s">
        <v>122</v>
      </c>
      <c r="C95" t="s">
        <v>136</v>
      </c>
      <c r="D95">
        <f t="shared" si="3"/>
        <v>0</v>
      </c>
      <c r="E95" t="s">
        <v>136</v>
      </c>
      <c r="F95">
        <f t="shared" si="3"/>
        <v>0</v>
      </c>
      <c r="G95">
        <f t="shared" si="2"/>
        <v>0</v>
      </c>
      <c r="H95">
        <v>3320</v>
      </c>
      <c r="I95">
        <v>28</v>
      </c>
    </row>
    <row r="96" spans="1:9">
      <c r="A96" t="s">
        <v>118</v>
      </c>
      <c r="B96" t="s">
        <v>119</v>
      </c>
      <c r="C96" t="s">
        <v>136</v>
      </c>
      <c r="D96">
        <f t="shared" si="3"/>
        <v>0</v>
      </c>
      <c r="E96" t="s">
        <v>136</v>
      </c>
      <c r="F96">
        <f t="shared" si="3"/>
        <v>0</v>
      </c>
      <c r="G96">
        <f t="shared" si="2"/>
        <v>0</v>
      </c>
      <c r="H96">
        <v>3510</v>
      </c>
      <c r="I96">
        <v>27</v>
      </c>
    </row>
    <row r="97" spans="1:9">
      <c r="A97" t="s">
        <v>118</v>
      </c>
      <c r="B97" t="s">
        <v>121</v>
      </c>
      <c r="C97" t="s">
        <v>136</v>
      </c>
      <c r="D97">
        <f t="shared" si="3"/>
        <v>0</v>
      </c>
      <c r="E97" t="s">
        <v>136</v>
      </c>
      <c r="F97">
        <f t="shared" si="3"/>
        <v>0</v>
      </c>
      <c r="G97">
        <f t="shared" si="2"/>
        <v>0</v>
      </c>
      <c r="H97">
        <v>4365</v>
      </c>
      <c r="I97">
        <v>22</v>
      </c>
    </row>
    <row r="98" spans="1:9">
      <c r="A98" t="s">
        <v>118</v>
      </c>
      <c r="B98" t="s">
        <v>123</v>
      </c>
      <c r="C98" t="s">
        <v>136</v>
      </c>
      <c r="D98">
        <f t="shared" si="3"/>
        <v>0</v>
      </c>
      <c r="E98" t="s">
        <v>136</v>
      </c>
      <c r="F98">
        <f t="shared" si="3"/>
        <v>0</v>
      </c>
      <c r="G98">
        <f t="shared" si="2"/>
        <v>0</v>
      </c>
      <c r="H98">
        <v>4665</v>
      </c>
      <c r="I98">
        <v>18</v>
      </c>
    </row>
    <row r="99" spans="1:9">
      <c r="A99" t="s">
        <v>124</v>
      </c>
      <c r="B99" t="s">
        <v>125</v>
      </c>
      <c r="C99" t="s">
        <v>136</v>
      </c>
      <c r="D99">
        <f t="shared" si="3"/>
        <v>0</v>
      </c>
      <c r="E99" t="s">
        <v>136</v>
      </c>
      <c r="F99">
        <f t="shared" si="3"/>
        <v>0</v>
      </c>
      <c r="G99">
        <f t="shared" si="2"/>
        <v>0</v>
      </c>
      <c r="H99">
        <v>3785</v>
      </c>
      <c r="I99">
        <v>24</v>
      </c>
    </row>
    <row r="100" spans="1:9">
      <c r="A100" t="s">
        <v>124</v>
      </c>
      <c r="B100" t="s">
        <v>126</v>
      </c>
      <c r="C100" t="s">
        <v>136</v>
      </c>
      <c r="D100">
        <f t="shared" si="3"/>
        <v>0</v>
      </c>
      <c r="E100" t="s">
        <v>136</v>
      </c>
      <c r="F100">
        <f t="shared" si="3"/>
        <v>0</v>
      </c>
      <c r="G100">
        <f t="shared" si="2"/>
        <v>0</v>
      </c>
      <c r="H100">
        <v>4150</v>
      </c>
      <c r="I100">
        <v>23</v>
      </c>
    </row>
    <row r="101" spans="1:9">
      <c r="A101" t="s">
        <v>124</v>
      </c>
      <c r="B101" t="s">
        <v>127</v>
      </c>
      <c r="C101" t="s">
        <v>136</v>
      </c>
      <c r="D101">
        <f t="shared" si="3"/>
        <v>0</v>
      </c>
      <c r="E101" t="s">
        <v>136</v>
      </c>
      <c r="F101">
        <f t="shared" si="3"/>
        <v>0</v>
      </c>
      <c r="G101">
        <f t="shared" si="2"/>
        <v>0</v>
      </c>
      <c r="H101">
        <v>4595</v>
      </c>
      <c r="I101">
        <v>20</v>
      </c>
    </row>
    <row r="102" spans="1:9">
      <c r="A102" t="s">
        <v>128</v>
      </c>
      <c r="B102" t="s">
        <v>129</v>
      </c>
      <c r="C102" t="s">
        <v>136</v>
      </c>
      <c r="D102">
        <f t="shared" si="3"/>
        <v>0</v>
      </c>
      <c r="E102" t="s">
        <v>136</v>
      </c>
      <c r="F102">
        <f t="shared" si="3"/>
        <v>0</v>
      </c>
      <c r="G102">
        <f t="shared" si="2"/>
        <v>0</v>
      </c>
      <c r="H102">
        <v>3530</v>
      </c>
      <c r="I102">
        <v>26</v>
      </c>
    </row>
    <row r="103" spans="1:9">
      <c r="A103" t="s">
        <v>130</v>
      </c>
      <c r="B103" t="s">
        <v>131</v>
      </c>
      <c r="C103" t="s">
        <v>136</v>
      </c>
      <c r="D103">
        <f t="shared" si="3"/>
        <v>0</v>
      </c>
      <c r="E103" t="s">
        <v>136</v>
      </c>
      <c r="F103">
        <f t="shared" si="3"/>
        <v>0</v>
      </c>
      <c r="G103">
        <f t="shared" si="2"/>
        <v>0</v>
      </c>
      <c r="H103">
        <v>3860</v>
      </c>
      <c r="I103">
        <v>25</v>
      </c>
    </row>
    <row r="104" spans="1:9">
      <c r="A104" t="s">
        <v>130</v>
      </c>
      <c r="B104" t="s">
        <v>132</v>
      </c>
      <c r="C104" t="s">
        <v>136</v>
      </c>
      <c r="D104">
        <f t="shared" si="3"/>
        <v>0</v>
      </c>
      <c r="E104" t="s">
        <v>136</v>
      </c>
      <c r="F104">
        <f t="shared" si="3"/>
        <v>0</v>
      </c>
      <c r="G104">
        <f t="shared" si="2"/>
        <v>0</v>
      </c>
      <c r="H104">
        <v>4425</v>
      </c>
      <c r="I104">
        <v>21</v>
      </c>
    </row>
    <row r="105" spans="1:9">
      <c r="A105" t="s">
        <v>130</v>
      </c>
      <c r="B105" t="s">
        <v>133</v>
      </c>
      <c r="C105" t="s">
        <v>136</v>
      </c>
      <c r="D105">
        <f t="shared" si="3"/>
        <v>0</v>
      </c>
      <c r="E105" t="s">
        <v>136</v>
      </c>
      <c r="F105">
        <f t="shared" si="3"/>
        <v>0</v>
      </c>
      <c r="G105">
        <f t="shared" si="2"/>
        <v>0</v>
      </c>
      <c r="H105">
        <v>4670</v>
      </c>
      <c r="I105">
        <v>20</v>
      </c>
    </row>
    <row r="107" spans="1:9">
      <c r="I107">
        <f>MAX(I2:I105)</f>
        <v>42</v>
      </c>
    </row>
    <row r="108" spans="1:9">
      <c r="I108">
        <f>MIN(I2:I105)</f>
        <v>17</v>
      </c>
    </row>
    <row r="112" spans="1:9">
      <c r="H112" s="1">
        <f>CORREL(H2:H105,I2:I105)</f>
        <v>-0.57025347118944891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reg2</vt:lpstr>
      <vt:lpstr>reg3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Fraser, Cynthia (cfg8q)</dc:creator>
  <cp:lastModifiedBy>USER</cp:lastModifiedBy>
  <dcterms:created xsi:type="dcterms:W3CDTF">2022-07-21T20:38:50Z</dcterms:created>
  <dcterms:modified xsi:type="dcterms:W3CDTF">2026-01-11T18:29:28Z</dcterms:modified>
</cp:coreProperties>
</file>